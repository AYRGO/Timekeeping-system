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2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comments5.xml" ContentType="application/vnd.openxmlformats-officedocument.spreadsheetml.comments+xml"/>
  <Override PartName="/xl/threadedComments/threadedComment2.xml" ContentType="application/vnd.ms-excel.threadedcomments+xml"/>
  <Override PartName="/xl/comments6.xml" ContentType="application/vnd.openxmlformats-officedocument.spreadsheetml.comments+xml"/>
  <Override PartName="/xl/threadedComments/threadedComment3.xml" ContentType="application/vnd.ms-excel.threadedcomments+xml"/>
  <Override PartName="/xl/comments7.xml" ContentType="application/vnd.openxmlformats-officedocument.spreadsheetml.comments+xml"/>
  <Override PartName="/xl/threadedComments/threadedComment4.xml" ContentType="application/vnd.ms-excel.threadedcomments+xml"/>
  <Override PartName="/xl/comments8.xml" ContentType="application/vnd.openxmlformats-officedocument.spreadsheetml.comments+xml"/>
  <Override PartName="/xl/threadedComments/threadedComment5.xml" ContentType="application/vnd.ms-excel.threadedcomments+xml"/>
  <Override PartName="/xl/comments9.xml" ContentType="application/vnd.openxmlformats-officedocument.spreadsheetml.comments+xml"/>
  <Override PartName="/xl/threadedComments/threadedComment6.xml" ContentType="application/vnd.ms-excel.threadedcomments+xml"/>
  <Override PartName="/xl/comments10.xml" ContentType="application/vnd.openxmlformats-officedocument.spreadsheetml.comments+xml"/>
  <Override PartName="/xl/threadedComments/threadedComment7.xml" ContentType="application/vnd.ms-excel.threadedcomments+xml"/>
  <Override PartName="/xl/comments11.xml" ContentType="application/vnd.openxmlformats-officedocument.spreadsheetml.comments+xml"/>
  <Override PartName="/xl/threadedComments/threadedComment8.xml" ContentType="application/vnd.ms-excel.threadedcomments+xml"/>
  <Override PartName="/xl/comments12.xml" ContentType="application/vnd.openxmlformats-officedocument.spreadsheetml.comments+xml"/>
  <Override PartName="/xl/threadedComments/threadedComment9.xml" ContentType="application/vnd.ms-excel.threadedcomments+xml"/>
  <Override PartName="/xl/comments13.xml" ContentType="application/vnd.openxmlformats-officedocument.spreadsheetml.comments+xml"/>
  <Override PartName="/xl/threadedComments/threadedComment10.xml" ContentType="application/vnd.ms-excel.threadedcomments+xml"/>
  <Override PartName="/xl/comments14.xml" ContentType="application/vnd.openxmlformats-officedocument.spreadsheetml.comments+xml"/>
  <Override PartName="/xl/threadedComments/threadedComment1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resty\Downloads\"/>
    </mc:Choice>
  </mc:AlternateContent>
  <xr:revisionPtr revIDLastSave="0" documentId="13_ncr:1_{0EE61BDE-44F5-4445-8B29-CC419E1A6DC6}" xr6:coauthVersionLast="47" xr6:coauthVersionMax="47" xr10:uidLastSave="{00000000-0000-0000-0000-000000000000}"/>
  <bookViews>
    <workbookView xWindow="-28920" yWindow="-120" windowWidth="29040" windowHeight="15720" tabRatio="599" firstSheet="22" activeTab="22" xr2:uid="{00000000-000D-0000-FFFF-FFFF00000000}"/>
  </bookViews>
  <sheets>
    <sheet name="Leaves" sheetId="1" r:id="rId1"/>
    <sheet name="2023 ACCRUAL" sheetId="6" state="hidden" r:id="rId2"/>
    <sheet name="DEC" sheetId="12" r:id="rId3"/>
    <sheet name="2024" sheetId="7" r:id="rId4"/>
    <sheet name="OCT" sheetId="8" state="hidden" r:id="rId5"/>
    <sheet name="NOV" sheetId="11" state="hidden" r:id="rId6"/>
    <sheet name="Jan2025" sheetId="13" r:id="rId7"/>
    <sheet name="Feb2025" sheetId="14" r:id="rId8"/>
    <sheet name="NOV-Draft" sheetId="9" state="hidden" r:id="rId9"/>
    <sheet name="2316" sheetId="5" state="hidden" r:id="rId10"/>
    <sheet name="Sheet2" sheetId="2" state="hidden" r:id="rId11"/>
    <sheet name="Mar2025 " sheetId="15" r:id="rId12"/>
    <sheet name="Apr2025" sheetId="16" r:id="rId13"/>
    <sheet name="May2025 " sheetId="17" r:id="rId14"/>
    <sheet name="Jun2025 " sheetId="19" r:id="rId15"/>
    <sheet name="Jul2025" sheetId="20" r:id="rId16"/>
    <sheet name="Aug2025" sheetId="21" r:id="rId17"/>
    <sheet name="Sept2025" sheetId="22" r:id="rId18"/>
    <sheet name="Oct2025 " sheetId="23" r:id="rId19"/>
    <sheet name="Nov2025" sheetId="25" r:id="rId20"/>
    <sheet name="Dec2025" sheetId="27" r:id="rId21"/>
    <sheet name="2025" sheetId="28" r:id="rId22"/>
    <sheet name="Jan2026" sheetId="29" r:id="rId23"/>
  </sheets>
  <definedNames>
    <definedName name="_xlnm._FilterDatabase" localSheetId="9" hidden="1">'2316'!$A$4:$D$15</definedName>
    <definedName name="_xlnm._FilterDatabase" localSheetId="2" hidden="1">DEC!$A$1:$A$288</definedName>
    <definedName name="_xlnm._FilterDatabase" localSheetId="7" hidden="1">'Feb2025'!$A$1:$A$288</definedName>
    <definedName name="_xlnm._FilterDatabase" localSheetId="6" hidden="1">'Jan2025'!$A$1:$A$287</definedName>
    <definedName name="_xlnm._FilterDatabase" localSheetId="0" hidden="1">Leaves!$A$2:$M$2</definedName>
    <definedName name="_xlnm._FilterDatabase" localSheetId="11" hidden="1">'Mar2025 '!$A$1:$A$288</definedName>
    <definedName name="_xlnm._FilterDatabase" localSheetId="5" hidden="1">NOV!$A$1:$A$285</definedName>
    <definedName name="_xlnm._FilterDatabase" localSheetId="4" hidden="1">OCT!$A$1:$A$284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29" l="1"/>
  <c r="B58" i="29"/>
  <c r="B45" i="29"/>
  <c r="B2" i="29"/>
  <c r="C2" i="29"/>
  <c r="B3" i="29"/>
  <c r="C3" i="29"/>
  <c r="B4" i="29"/>
  <c r="C4" i="29"/>
  <c r="B5" i="29"/>
  <c r="C5" i="29"/>
  <c r="B6" i="29"/>
  <c r="C6" i="29"/>
  <c r="B7" i="29"/>
  <c r="C7" i="29"/>
  <c r="B8" i="29"/>
  <c r="C8" i="29"/>
  <c r="AD9" i="29"/>
  <c r="B10" i="29"/>
  <c r="C10" i="29"/>
  <c r="B11" i="29"/>
  <c r="C11" i="29"/>
  <c r="B12" i="29"/>
  <c r="C12" i="29"/>
  <c r="D12" i="29"/>
  <c r="B13" i="29"/>
  <c r="C13" i="29"/>
  <c r="B14" i="29"/>
  <c r="C14" i="29"/>
  <c r="B15" i="29"/>
  <c r="C15" i="29"/>
  <c r="B16" i="29"/>
  <c r="C16" i="29"/>
  <c r="B17" i="29"/>
  <c r="C17" i="29"/>
  <c r="B18" i="29"/>
  <c r="C18" i="29"/>
  <c r="B20" i="29"/>
  <c r="C20" i="29"/>
  <c r="B21" i="29"/>
  <c r="C21" i="29"/>
  <c r="D21" i="29"/>
  <c r="B22" i="29"/>
  <c r="C22" i="29"/>
  <c r="B23" i="29"/>
  <c r="C23" i="29"/>
  <c r="B24" i="29"/>
  <c r="C24" i="29"/>
  <c r="B25" i="29"/>
  <c r="C25" i="29"/>
  <c r="B26" i="29"/>
  <c r="C26" i="29"/>
  <c r="B27" i="29"/>
  <c r="C27" i="29"/>
  <c r="B28" i="29"/>
  <c r="C28" i="29"/>
  <c r="B29" i="29"/>
  <c r="C29" i="29"/>
  <c r="B30" i="29"/>
  <c r="C30" i="29"/>
  <c r="B31" i="29"/>
  <c r="C31" i="29"/>
  <c r="B32" i="29"/>
  <c r="C32" i="29"/>
  <c r="B33" i="29"/>
  <c r="B34" i="29"/>
  <c r="C34" i="29"/>
  <c r="B35" i="29"/>
  <c r="C35" i="29"/>
  <c r="B36" i="29"/>
  <c r="C36" i="29"/>
  <c r="D36" i="29"/>
  <c r="B37" i="29"/>
  <c r="C37" i="29"/>
  <c r="B38" i="29"/>
  <c r="C38" i="29"/>
  <c r="B39" i="29"/>
  <c r="C39" i="29"/>
  <c r="B40" i="29"/>
  <c r="C40" i="29"/>
  <c r="B41" i="29"/>
  <c r="C41" i="29"/>
  <c r="B42" i="29"/>
  <c r="C42" i="29"/>
  <c r="B43" i="29"/>
  <c r="C43" i="29"/>
  <c r="B44" i="29"/>
  <c r="C44" i="29"/>
  <c r="B46" i="29"/>
  <c r="C46" i="29"/>
  <c r="B47" i="29"/>
  <c r="C47" i="29"/>
  <c r="C48" i="29"/>
  <c r="B49" i="29"/>
  <c r="C49" i="29"/>
  <c r="B50" i="29"/>
  <c r="C50" i="29"/>
  <c r="B51" i="29"/>
  <c r="C51" i="29"/>
  <c r="B52" i="29"/>
  <c r="C52" i="29"/>
  <c r="B53" i="29"/>
  <c r="C53" i="29"/>
  <c r="B54" i="29"/>
  <c r="C54" i="29"/>
  <c r="B55" i="29"/>
  <c r="C55" i="29"/>
  <c r="B56" i="29"/>
  <c r="C56" i="29"/>
  <c r="B57" i="29"/>
  <c r="C57" i="29"/>
  <c r="B60" i="29"/>
  <c r="C60" i="29"/>
  <c r="B61" i="29"/>
  <c r="C61" i="29"/>
  <c r="B62" i="29"/>
  <c r="C62" i="29"/>
  <c r="B63" i="29"/>
  <c r="C63" i="29"/>
  <c r="B64" i="29"/>
  <c r="C64" i="29"/>
  <c r="B65" i="29"/>
  <c r="C65" i="29"/>
  <c r="B66" i="29"/>
  <c r="C66" i="29"/>
  <c r="B67" i="29"/>
  <c r="C67" i="29"/>
  <c r="B68" i="29"/>
  <c r="C68" i="29"/>
  <c r="B69" i="29"/>
  <c r="C69" i="29"/>
  <c r="B70" i="29"/>
  <c r="C70" i="29"/>
  <c r="B71" i="29"/>
  <c r="C71" i="29"/>
  <c r="B72" i="29"/>
  <c r="C72" i="29"/>
  <c r="B73" i="29"/>
  <c r="C73" i="29"/>
  <c r="B53" i="27"/>
  <c r="B31" i="27"/>
  <c r="B42" i="27"/>
  <c r="B37" i="25"/>
  <c r="B44" i="22"/>
  <c r="B46" i="23"/>
  <c r="B46" i="25"/>
  <c r="B51" i="27"/>
  <c r="B46" i="27"/>
  <c r="B41" i="25"/>
  <c r="B49" i="27"/>
  <c r="B18" i="27"/>
  <c r="B21" i="25"/>
  <c r="B21" i="23"/>
  <c r="B19" i="22"/>
  <c r="B18" i="21"/>
  <c r="B54" i="22"/>
  <c r="B47" i="17"/>
  <c r="B47" i="22"/>
  <c r="B46" i="21"/>
  <c r="B44" i="21"/>
  <c r="B24" i="22"/>
  <c r="B55" i="22"/>
  <c r="B54" i="21"/>
  <c r="B58" i="21"/>
  <c r="B65" i="27"/>
  <c r="C3" i="28"/>
  <c r="B3" i="28"/>
  <c r="C28" i="27"/>
  <c r="B28" i="27"/>
  <c r="B34" i="27"/>
  <c r="B2" i="27"/>
  <c r="B29" i="27"/>
  <c r="B58" i="27"/>
  <c r="B8" i="15"/>
  <c r="B9" i="15"/>
  <c r="D20" i="27"/>
  <c r="C5" i="27"/>
  <c r="C12" i="27"/>
  <c r="B5" i="27"/>
  <c r="B12" i="27"/>
  <c r="C37" i="27"/>
  <c r="C26" i="27"/>
  <c r="B37" i="27"/>
  <c r="B26" i="27"/>
  <c r="B19" i="27"/>
  <c r="C19" i="27"/>
  <c r="C68" i="27"/>
  <c r="C71" i="27"/>
  <c r="B68" i="27"/>
  <c r="B71" i="27"/>
  <c r="B69" i="28" s="1"/>
  <c r="C69" i="28" s="1"/>
  <c r="C48" i="25"/>
  <c r="C48" i="23"/>
  <c r="C53" i="27"/>
  <c r="B2" i="16"/>
  <c r="B2" i="17" s="1"/>
  <c r="B2" i="19" s="1"/>
  <c r="B2" i="20" s="1"/>
  <c r="B2" i="21" s="1"/>
  <c r="B2" i="22" s="1"/>
  <c r="B2" i="23" s="1"/>
  <c r="B2" i="25" s="1"/>
  <c r="B8" i="16"/>
  <c r="B2" i="15"/>
  <c r="C2" i="14"/>
  <c r="C7" i="13"/>
  <c r="B8" i="13"/>
  <c r="C8" i="13"/>
  <c r="B9" i="13"/>
  <c r="C9" i="13"/>
  <c r="B10" i="13"/>
  <c r="C10" i="13"/>
  <c r="B11" i="13"/>
  <c r="C11" i="13"/>
  <c r="D11" i="13"/>
  <c r="B12" i="13"/>
  <c r="C12" i="13"/>
  <c r="B13" i="13"/>
  <c r="C13" i="13"/>
  <c r="B14" i="13"/>
  <c r="C14" i="13"/>
  <c r="B15" i="13"/>
  <c r="C15" i="13"/>
  <c r="B16" i="13"/>
  <c r="C16" i="13"/>
  <c r="B17" i="13"/>
  <c r="C17" i="13"/>
  <c r="B18" i="13"/>
  <c r="C18" i="13"/>
  <c r="B19" i="13"/>
  <c r="C19" i="13"/>
  <c r="B20" i="13"/>
  <c r="C20" i="13"/>
  <c r="B21" i="13"/>
  <c r="C21" i="13"/>
  <c r="B22" i="13"/>
  <c r="C22" i="13"/>
  <c r="D22" i="13"/>
  <c r="B23" i="13"/>
  <c r="C23" i="13"/>
  <c r="B24" i="13"/>
  <c r="C24" i="13"/>
  <c r="B25" i="13"/>
  <c r="C25" i="13"/>
  <c r="B26" i="13"/>
  <c r="C26" i="13"/>
  <c r="B27" i="13"/>
  <c r="C27" i="13"/>
  <c r="B28" i="13"/>
  <c r="C28" i="13"/>
  <c r="B29" i="13"/>
  <c r="C29" i="13"/>
  <c r="B30" i="13"/>
  <c r="C30" i="13"/>
  <c r="B31" i="13"/>
  <c r="C31" i="13"/>
  <c r="B32" i="13"/>
  <c r="C32" i="13"/>
  <c r="B33" i="13"/>
  <c r="C33" i="13"/>
  <c r="B34" i="13"/>
  <c r="C34" i="13"/>
  <c r="B35" i="13"/>
  <c r="C35" i="13"/>
  <c r="B36" i="13"/>
  <c r="C36" i="13"/>
  <c r="B37" i="13"/>
  <c r="C37" i="13"/>
  <c r="B38" i="13"/>
  <c r="C38" i="13"/>
  <c r="B39" i="13"/>
  <c r="C39" i="13"/>
  <c r="B40" i="13"/>
  <c r="C40" i="13"/>
  <c r="B2" i="13"/>
  <c r="C2" i="13"/>
  <c r="B3" i="13"/>
  <c r="C3" i="13"/>
  <c r="B4" i="13"/>
  <c r="C4" i="13"/>
  <c r="B5" i="13"/>
  <c r="C5" i="13"/>
  <c r="B6" i="13"/>
  <c r="C6" i="13"/>
  <c r="B7" i="13"/>
  <c r="C22" i="17"/>
  <c r="C22" i="19" s="1"/>
  <c r="C22" i="20" s="1"/>
  <c r="C24" i="21" s="1"/>
  <c r="C25" i="22" s="1"/>
  <c r="C27" i="23" s="1"/>
  <c r="C27" i="25" s="1"/>
  <c r="B22" i="17"/>
  <c r="B28" i="17"/>
  <c r="C28" i="17"/>
  <c r="B31" i="17"/>
  <c r="C31" i="17"/>
  <c r="D36" i="17"/>
  <c r="B38" i="17"/>
  <c r="C38" i="17"/>
  <c r="B50" i="17"/>
  <c r="C50" i="17"/>
  <c r="B22" i="19"/>
  <c r="D34" i="27"/>
  <c r="B22" i="20"/>
  <c r="B24" i="21" s="1"/>
  <c r="B13" i="17"/>
  <c r="B17" i="14"/>
  <c r="B17" i="15"/>
  <c r="B20" i="16" s="1"/>
  <c r="C39" i="21"/>
  <c r="C15" i="25"/>
  <c r="C16" i="27" s="1"/>
  <c r="B15" i="25"/>
  <c r="B16" i="27" s="1"/>
  <c r="B30" i="15"/>
  <c r="C30" i="15"/>
  <c r="B41" i="15"/>
  <c r="C41" i="15"/>
  <c r="B14" i="15"/>
  <c r="C14" i="15"/>
  <c r="C17" i="14"/>
  <c r="C17" i="15" s="1"/>
  <c r="B18" i="14"/>
  <c r="B18" i="15" s="1"/>
  <c r="C18" i="14"/>
  <c r="C18" i="15" s="1"/>
  <c r="D18" i="14"/>
  <c r="B19" i="14"/>
  <c r="B19" i="15" s="1"/>
  <c r="B21" i="16" s="1"/>
  <c r="C19" i="14"/>
  <c r="C19" i="15" s="1"/>
  <c r="D19" i="14"/>
  <c r="B20" i="14"/>
  <c r="B20" i="15" s="1"/>
  <c r="C20" i="14"/>
  <c r="C20" i="15" s="1"/>
  <c r="D20" i="14"/>
  <c r="B21" i="14"/>
  <c r="B21" i="15" s="1"/>
  <c r="C21" i="14"/>
  <c r="C21" i="15" s="1"/>
  <c r="D21" i="14"/>
  <c r="B22" i="14"/>
  <c r="B22" i="15" s="1"/>
  <c r="C22" i="14"/>
  <c r="C22" i="15" s="1"/>
  <c r="D22" i="14"/>
  <c r="B23" i="14"/>
  <c r="B23" i="15" s="1"/>
  <c r="C23" i="14"/>
  <c r="C23" i="15" s="1"/>
  <c r="D23" i="14"/>
  <c r="B24" i="14"/>
  <c r="B24" i="15" s="1"/>
  <c r="C24" i="14"/>
  <c r="C24" i="15" s="1"/>
  <c r="D24" i="14"/>
  <c r="B25" i="14"/>
  <c r="B25" i="15" s="1"/>
  <c r="C25" i="14"/>
  <c r="C25" i="15" s="1"/>
  <c r="D25" i="14"/>
  <c r="B26" i="14"/>
  <c r="B26" i="15" s="1"/>
  <c r="C26" i="14"/>
  <c r="C26" i="15" s="1"/>
  <c r="D26" i="14"/>
  <c r="B27" i="14"/>
  <c r="B27" i="15" s="1"/>
  <c r="C27" i="14"/>
  <c r="C27" i="15" s="1"/>
  <c r="D27" i="14"/>
  <c r="B28" i="14"/>
  <c r="B28" i="15" s="1"/>
  <c r="C28" i="14"/>
  <c r="C28" i="15" s="1"/>
  <c r="D28" i="14"/>
  <c r="B29" i="14"/>
  <c r="B29" i="15" s="1"/>
  <c r="C29" i="14"/>
  <c r="C29" i="15" s="1"/>
  <c r="D29" i="14"/>
  <c r="B30" i="14"/>
  <c r="C30" i="14"/>
  <c r="B31" i="14"/>
  <c r="B31" i="15" s="1"/>
  <c r="C31" i="14"/>
  <c r="C31" i="15" s="1"/>
  <c r="D31" i="14"/>
  <c r="B32" i="14"/>
  <c r="B32" i="15" s="1"/>
  <c r="C32" i="14"/>
  <c r="C32" i="15" s="1"/>
  <c r="D32" i="14"/>
  <c r="B33" i="14"/>
  <c r="B33" i="15" s="1"/>
  <c r="C33" i="14"/>
  <c r="C33" i="15" s="1"/>
  <c r="D33" i="14"/>
  <c r="B34" i="14"/>
  <c r="B34" i="15" s="1"/>
  <c r="C34" i="14"/>
  <c r="C34" i="15" s="1"/>
  <c r="D34" i="14"/>
  <c r="B35" i="14"/>
  <c r="B35" i="15" s="1"/>
  <c r="C35" i="14"/>
  <c r="C35" i="15" s="1"/>
  <c r="D35" i="14"/>
  <c r="B36" i="14"/>
  <c r="B36" i="15" s="1"/>
  <c r="C36" i="14"/>
  <c r="C36" i="15" s="1"/>
  <c r="D36" i="14"/>
  <c r="B37" i="14"/>
  <c r="B37" i="15" s="1"/>
  <c r="C37" i="14"/>
  <c r="C37" i="15" s="1"/>
  <c r="D37" i="14"/>
  <c r="B38" i="14"/>
  <c r="B38" i="15" s="1"/>
  <c r="C38" i="14"/>
  <c r="C38" i="15" s="1"/>
  <c r="D38" i="14"/>
  <c r="B39" i="14"/>
  <c r="B39" i="15" s="1"/>
  <c r="C39" i="14"/>
  <c r="C39" i="15" s="1"/>
  <c r="D39" i="14"/>
  <c r="B40" i="14"/>
  <c r="B40" i="15" s="1"/>
  <c r="C40" i="14"/>
  <c r="C40" i="15" s="1"/>
  <c r="D40" i="14"/>
  <c r="B41" i="14"/>
  <c r="C41" i="14"/>
  <c r="B42" i="14"/>
  <c r="B42" i="15" s="1"/>
  <c r="C42" i="14"/>
  <c r="C42" i="15" s="1"/>
  <c r="D42" i="14"/>
  <c r="B2" i="14"/>
  <c r="C2" i="15"/>
  <c r="D2" i="14"/>
  <c r="B3" i="14"/>
  <c r="B3" i="15" s="1"/>
  <c r="C3" i="14"/>
  <c r="C3" i="15" s="1"/>
  <c r="D3" i="14"/>
  <c r="B4" i="14"/>
  <c r="B4" i="15" s="1"/>
  <c r="C4" i="14"/>
  <c r="C4" i="15" s="1"/>
  <c r="D4" i="14"/>
  <c r="B5" i="14"/>
  <c r="B5" i="15" s="1"/>
  <c r="C5" i="14"/>
  <c r="C5" i="15" s="1"/>
  <c r="D5" i="14"/>
  <c r="B6" i="14"/>
  <c r="B6" i="15" s="1"/>
  <c r="C6" i="14"/>
  <c r="C6" i="15" s="1"/>
  <c r="D6" i="14"/>
  <c r="B7" i="14"/>
  <c r="B7" i="15" s="1"/>
  <c r="C7" i="14"/>
  <c r="C7" i="15" s="1"/>
  <c r="D7" i="14"/>
  <c r="B8" i="14"/>
  <c r="C8" i="14"/>
  <c r="C8" i="15" s="1"/>
  <c r="D8" i="14"/>
  <c r="B9" i="14"/>
  <c r="C9" i="14"/>
  <c r="C9" i="15" s="1"/>
  <c r="D9" i="14"/>
  <c r="B10" i="14"/>
  <c r="B10" i="15" s="1"/>
  <c r="C10" i="14"/>
  <c r="C10" i="15" s="1"/>
  <c r="D10" i="14"/>
  <c r="B11" i="14"/>
  <c r="B11" i="15" s="1"/>
  <c r="C11" i="14"/>
  <c r="C11" i="15" s="1"/>
  <c r="D11" i="14"/>
  <c r="B12" i="14"/>
  <c r="B12" i="15" s="1"/>
  <c r="C12" i="14"/>
  <c r="C12" i="15" s="1"/>
  <c r="D12" i="14"/>
  <c r="B13" i="14"/>
  <c r="B13" i="15" s="1"/>
  <c r="C13" i="14"/>
  <c r="C13" i="15" s="1"/>
  <c r="D13" i="14"/>
  <c r="B14" i="14"/>
  <c r="C14" i="14"/>
  <c r="B15" i="14"/>
  <c r="B15" i="15" s="1"/>
  <c r="C15" i="14"/>
  <c r="C15" i="15" s="1"/>
  <c r="D15" i="14"/>
  <c r="B16" i="14"/>
  <c r="B16" i="15" s="1"/>
  <c r="C16" i="14"/>
  <c r="C16" i="15" s="1"/>
  <c r="D16" i="14"/>
  <c r="D17" i="14"/>
  <c r="AJ3" i="22"/>
  <c r="AJ4" i="22"/>
  <c r="AJ5" i="22"/>
  <c r="AJ6" i="22"/>
  <c r="AJ7" i="22"/>
  <c r="AJ8" i="22"/>
  <c r="AJ9" i="22"/>
  <c r="AJ10" i="22"/>
  <c r="AJ11" i="22"/>
  <c r="AJ12" i="22"/>
  <c r="AJ13" i="22"/>
  <c r="AJ14" i="22"/>
  <c r="AJ15" i="22"/>
  <c r="AJ16" i="22"/>
  <c r="AJ17" i="22"/>
  <c r="AJ18" i="22"/>
  <c r="AJ19" i="22"/>
  <c r="AJ20" i="22"/>
  <c r="AJ21" i="22"/>
  <c r="AJ22" i="22"/>
  <c r="AJ23" i="22"/>
  <c r="AJ24" i="22"/>
  <c r="AJ25" i="22"/>
  <c r="AJ26" i="22"/>
  <c r="AJ27" i="22"/>
  <c r="AJ28" i="22"/>
  <c r="AJ29" i="22"/>
  <c r="AJ30" i="22"/>
  <c r="AJ31" i="22"/>
  <c r="AJ32" i="22"/>
  <c r="AJ33" i="22"/>
  <c r="AJ34" i="22"/>
  <c r="AJ35" i="22"/>
  <c r="AJ36" i="22"/>
  <c r="AJ37" i="22"/>
  <c r="AJ38" i="22"/>
  <c r="AJ39" i="22"/>
  <c r="AJ40" i="22"/>
  <c r="AJ41" i="22"/>
  <c r="AJ42" i="22"/>
  <c r="AJ43" i="22"/>
  <c r="AJ44" i="22"/>
  <c r="AJ45" i="22"/>
  <c r="AJ46" i="22"/>
  <c r="AJ47" i="22"/>
  <c r="AJ48" i="22"/>
  <c r="AJ49" i="22"/>
  <c r="AJ50" i="22"/>
  <c r="AJ51" i="22"/>
  <c r="AJ52" i="22"/>
  <c r="AJ53" i="22"/>
  <c r="AJ54" i="22"/>
  <c r="AJ55" i="22"/>
  <c r="AJ56" i="22"/>
  <c r="AJ57" i="22"/>
  <c r="AJ58" i="22"/>
  <c r="AJ59" i="22"/>
  <c r="AJ60" i="22"/>
  <c r="AJ61" i="22"/>
  <c r="AJ62" i="22"/>
  <c r="AJ63" i="22"/>
  <c r="AJ2" i="22"/>
  <c r="AJ62" i="21"/>
  <c r="AJ63" i="21"/>
  <c r="AJ55" i="20"/>
  <c r="AJ56" i="20"/>
  <c r="AJ57" i="20"/>
  <c r="AJ58" i="20"/>
  <c r="AJ59" i="20"/>
  <c r="AJ60" i="20"/>
  <c r="AJ61" i="20"/>
  <c r="AJ62" i="20"/>
  <c r="AJ63" i="20"/>
  <c r="AJ54" i="19"/>
  <c r="AJ55" i="19"/>
  <c r="AJ56" i="19"/>
  <c r="AJ57" i="19"/>
  <c r="AJ58" i="19"/>
  <c r="AJ59" i="19"/>
  <c r="AJ60" i="19"/>
  <c r="AJ61" i="19"/>
  <c r="AJ62" i="19"/>
  <c r="AJ63" i="19"/>
  <c r="AJ54" i="17"/>
  <c r="AJ55" i="17"/>
  <c r="AJ56" i="17"/>
  <c r="AJ57" i="17"/>
  <c r="AJ58" i="17"/>
  <c r="AJ59" i="17"/>
  <c r="AJ60" i="17"/>
  <c r="AJ61" i="17"/>
  <c r="AJ62" i="17"/>
  <c r="AJ63" i="17"/>
  <c r="AJ48" i="16"/>
  <c r="AJ49" i="16"/>
  <c r="AJ50" i="16"/>
  <c r="AJ51" i="16"/>
  <c r="AJ52" i="16"/>
  <c r="AJ53" i="16"/>
  <c r="AJ54" i="16"/>
  <c r="AJ55" i="16"/>
  <c r="AJ56" i="16"/>
  <c r="AJ57" i="16"/>
  <c r="AJ58" i="16"/>
  <c r="AJ59" i="16"/>
  <c r="AJ60" i="16"/>
  <c r="AJ61" i="16"/>
  <c r="AJ62" i="16"/>
  <c r="AJ63" i="16"/>
  <c r="AJ43" i="14"/>
  <c r="AJ44" i="14"/>
  <c r="AJ45" i="14"/>
  <c r="AJ46" i="14"/>
  <c r="AJ47" i="14"/>
  <c r="AJ48" i="14"/>
  <c r="AJ49" i="14"/>
  <c r="AJ50" i="14"/>
  <c r="AJ51" i="14"/>
  <c r="AJ52" i="14"/>
  <c r="AJ53" i="14"/>
  <c r="AJ54" i="14"/>
  <c r="AJ55" i="14"/>
  <c r="AJ56" i="14"/>
  <c r="AJ57" i="14"/>
  <c r="AJ58" i="14"/>
  <c r="AJ59" i="14"/>
  <c r="AJ60" i="14"/>
  <c r="AJ61" i="14"/>
  <c r="AJ62" i="14"/>
  <c r="AJ63" i="14"/>
  <c r="AJ41" i="13"/>
  <c r="AJ42" i="13"/>
  <c r="AJ43" i="13"/>
  <c r="AJ44" i="13"/>
  <c r="AJ45" i="13"/>
  <c r="AJ46" i="13"/>
  <c r="AJ47" i="13"/>
  <c r="AJ48" i="13"/>
  <c r="AJ49" i="13"/>
  <c r="AJ50" i="13"/>
  <c r="AJ51" i="13"/>
  <c r="AJ52" i="13"/>
  <c r="AJ53" i="13"/>
  <c r="AJ54" i="13"/>
  <c r="AJ55" i="13"/>
  <c r="AJ56" i="13"/>
  <c r="AJ57" i="13"/>
  <c r="AJ58" i="13"/>
  <c r="AJ59" i="13"/>
  <c r="AJ60" i="13"/>
  <c r="AJ61" i="13"/>
  <c r="AJ62" i="13"/>
  <c r="AJ63" i="13"/>
  <c r="AJ3" i="25"/>
  <c r="AJ4" i="25"/>
  <c r="AJ5" i="25"/>
  <c r="AJ6" i="25"/>
  <c r="AJ7" i="25"/>
  <c r="AJ8" i="25"/>
  <c r="AJ9" i="25"/>
  <c r="AJ10" i="25"/>
  <c r="AJ11" i="25"/>
  <c r="AJ12" i="25"/>
  <c r="AJ13" i="25"/>
  <c r="AJ14" i="25"/>
  <c r="AJ16" i="25"/>
  <c r="AJ17" i="25"/>
  <c r="AJ18" i="25"/>
  <c r="AJ19" i="25"/>
  <c r="AJ20" i="25"/>
  <c r="AJ21" i="25"/>
  <c r="AJ22" i="25"/>
  <c r="AJ23" i="25"/>
  <c r="AJ24" i="25"/>
  <c r="AJ25" i="25"/>
  <c r="AJ26" i="25"/>
  <c r="AJ27" i="25"/>
  <c r="AJ28" i="25"/>
  <c r="AJ29" i="25"/>
  <c r="AJ30" i="25"/>
  <c r="AJ31" i="25"/>
  <c r="AJ32" i="25"/>
  <c r="AJ33" i="25"/>
  <c r="AJ34" i="25"/>
  <c r="AJ35" i="25"/>
  <c r="AJ36" i="25"/>
  <c r="AJ37" i="25"/>
  <c r="AJ38" i="25"/>
  <c r="AJ39" i="25"/>
  <c r="AJ40" i="25"/>
  <c r="AJ41" i="25"/>
  <c r="AJ42" i="25"/>
  <c r="AJ43" i="25"/>
  <c r="AJ44" i="25"/>
  <c r="AJ45" i="25"/>
  <c r="AJ46" i="25"/>
  <c r="AJ47" i="25"/>
  <c r="AJ48" i="25"/>
  <c r="AJ49" i="25"/>
  <c r="AJ50" i="25"/>
  <c r="AJ51" i="25"/>
  <c r="AJ52" i="25"/>
  <c r="AJ53" i="25"/>
  <c r="AJ54" i="25"/>
  <c r="AJ55" i="25"/>
  <c r="AJ56" i="25"/>
  <c r="AJ57" i="25"/>
  <c r="AJ58" i="25"/>
  <c r="AJ59" i="25"/>
  <c r="AJ60" i="25"/>
  <c r="AJ61" i="25"/>
  <c r="AJ62" i="25"/>
  <c r="AJ63" i="25"/>
  <c r="AJ64" i="25"/>
  <c r="AJ2" i="25"/>
  <c r="AJ3" i="19"/>
  <c r="AJ4" i="19"/>
  <c r="AJ5" i="19"/>
  <c r="AJ6" i="19"/>
  <c r="AJ7" i="19"/>
  <c r="AJ8" i="19"/>
  <c r="AJ9" i="19"/>
  <c r="AJ10" i="19"/>
  <c r="AJ11" i="19"/>
  <c r="AJ12" i="19"/>
  <c r="AJ13" i="19"/>
  <c r="AJ14" i="19"/>
  <c r="AJ15" i="19"/>
  <c r="AJ16" i="19"/>
  <c r="AJ17" i="19"/>
  <c r="AJ18" i="19"/>
  <c r="AJ19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J33" i="19"/>
  <c r="AJ34" i="19"/>
  <c r="AJ35" i="19"/>
  <c r="AJ36" i="19"/>
  <c r="AJ37" i="19"/>
  <c r="AJ38" i="19"/>
  <c r="AJ39" i="19"/>
  <c r="AJ40" i="19"/>
  <c r="AJ41" i="19"/>
  <c r="AJ42" i="19"/>
  <c r="AJ43" i="19"/>
  <c r="AJ44" i="19"/>
  <c r="AJ45" i="19"/>
  <c r="AJ46" i="19"/>
  <c r="AJ47" i="19"/>
  <c r="AJ48" i="19"/>
  <c r="AJ49" i="19"/>
  <c r="AJ50" i="19"/>
  <c r="AJ51" i="19"/>
  <c r="AJ52" i="19"/>
  <c r="AJ53" i="19"/>
  <c r="AJ2" i="19"/>
  <c r="AJ3" i="27"/>
  <c r="AJ4" i="27"/>
  <c r="AJ6" i="27"/>
  <c r="AJ7" i="27"/>
  <c r="AJ8" i="27"/>
  <c r="AJ9" i="27"/>
  <c r="AJ10" i="27"/>
  <c r="AJ11" i="27"/>
  <c r="AJ12" i="27"/>
  <c r="AJ13" i="27"/>
  <c r="AJ14" i="27"/>
  <c r="AJ15" i="27"/>
  <c r="AJ17" i="27"/>
  <c r="AJ18" i="27"/>
  <c r="AJ20" i="27"/>
  <c r="AJ21" i="27"/>
  <c r="AJ22" i="27"/>
  <c r="AJ23" i="27"/>
  <c r="AJ24" i="27"/>
  <c r="AJ25" i="27"/>
  <c r="AJ27" i="27"/>
  <c r="AJ29" i="27"/>
  <c r="AJ30" i="27"/>
  <c r="AJ31" i="27"/>
  <c r="AJ32" i="27"/>
  <c r="AJ33" i="27"/>
  <c r="AJ34" i="27"/>
  <c r="AJ35" i="27"/>
  <c r="AJ36" i="27"/>
  <c r="AJ38" i="27"/>
  <c r="AJ39" i="27"/>
  <c r="AJ40" i="27"/>
  <c r="AJ41" i="27"/>
  <c r="AJ42" i="27"/>
  <c r="AJ43" i="27"/>
  <c r="AJ44" i="27"/>
  <c r="AJ45" i="27"/>
  <c r="AJ46" i="27"/>
  <c r="AJ47" i="27"/>
  <c r="AJ48" i="27"/>
  <c r="AJ49" i="27"/>
  <c r="AJ50" i="27"/>
  <c r="AJ51" i="27"/>
  <c r="AJ52" i="27"/>
  <c r="AJ53" i="27"/>
  <c r="AJ54" i="27"/>
  <c r="AJ55" i="27"/>
  <c r="AJ56" i="27"/>
  <c r="AJ57" i="27"/>
  <c r="AJ58" i="27"/>
  <c r="AJ59" i="27"/>
  <c r="AJ60" i="27"/>
  <c r="AJ61" i="27"/>
  <c r="AJ62" i="27"/>
  <c r="AJ63" i="27"/>
  <c r="AJ64" i="27"/>
  <c r="AJ65" i="27"/>
  <c r="AJ66" i="27"/>
  <c r="AJ67" i="27"/>
  <c r="AJ69" i="27"/>
  <c r="AJ70" i="27"/>
  <c r="AJ2" i="27"/>
  <c r="AJ3" i="14"/>
  <c r="AJ4" i="14"/>
  <c r="AJ5" i="14"/>
  <c r="AJ6" i="14"/>
  <c r="AJ7" i="14"/>
  <c r="AJ8" i="14"/>
  <c r="AJ9" i="14"/>
  <c r="AJ10" i="14"/>
  <c r="AJ11" i="14"/>
  <c r="AJ12" i="14"/>
  <c r="AJ13" i="14"/>
  <c r="AJ14" i="14"/>
  <c r="AJ15" i="14"/>
  <c r="AJ16" i="14"/>
  <c r="AJ17" i="14"/>
  <c r="AJ18" i="14"/>
  <c r="AJ19" i="14"/>
  <c r="AJ20" i="14"/>
  <c r="AJ21" i="14"/>
  <c r="AJ22" i="14"/>
  <c r="AJ23" i="14"/>
  <c r="AJ24" i="14"/>
  <c r="AJ25" i="14"/>
  <c r="AJ26" i="14"/>
  <c r="AJ27" i="14"/>
  <c r="AJ28" i="14"/>
  <c r="AJ29" i="14"/>
  <c r="AJ30" i="14"/>
  <c r="AJ31" i="14"/>
  <c r="AJ32" i="14"/>
  <c r="AJ33" i="14"/>
  <c r="AJ34" i="14"/>
  <c r="AJ35" i="14"/>
  <c r="AJ36" i="14"/>
  <c r="AJ37" i="14"/>
  <c r="AJ38" i="14"/>
  <c r="AJ39" i="14"/>
  <c r="AJ40" i="14"/>
  <c r="AJ41" i="14"/>
  <c r="AJ42" i="14"/>
  <c r="AJ2" i="14"/>
  <c r="AJ3" i="23"/>
  <c r="AJ4" i="23"/>
  <c r="AJ5" i="23"/>
  <c r="AJ6" i="23"/>
  <c r="AJ7" i="23"/>
  <c r="AJ8" i="23"/>
  <c r="AJ9" i="23"/>
  <c r="AJ10" i="23"/>
  <c r="AJ11" i="23"/>
  <c r="AJ12" i="23"/>
  <c r="AJ13" i="23"/>
  <c r="AJ14" i="23"/>
  <c r="AJ16" i="23"/>
  <c r="AJ17" i="23"/>
  <c r="AJ18" i="23"/>
  <c r="AJ19" i="23"/>
  <c r="AJ20" i="23"/>
  <c r="AJ21" i="23"/>
  <c r="AJ22" i="23"/>
  <c r="AJ23" i="23"/>
  <c r="AJ24" i="23"/>
  <c r="AJ25" i="23"/>
  <c r="AJ26" i="23"/>
  <c r="AJ27" i="23"/>
  <c r="AJ28" i="23"/>
  <c r="AJ29" i="23"/>
  <c r="AJ30" i="23"/>
  <c r="AJ31" i="23"/>
  <c r="AJ32" i="23"/>
  <c r="AJ33" i="23"/>
  <c r="AJ34" i="23"/>
  <c r="AJ35" i="23"/>
  <c r="AJ36" i="23"/>
  <c r="AJ37" i="23"/>
  <c r="AJ38" i="23"/>
  <c r="AJ39" i="23"/>
  <c r="AJ40" i="23"/>
  <c r="AJ41" i="23"/>
  <c r="AJ42" i="23"/>
  <c r="AJ43" i="23"/>
  <c r="AJ44" i="23"/>
  <c r="AJ45" i="23"/>
  <c r="AJ46" i="23"/>
  <c r="AJ47" i="23"/>
  <c r="AJ48" i="23"/>
  <c r="AJ49" i="23"/>
  <c r="AJ50" i="23"/>
  <c r="AJ51" i="23"/>
  <c r="AJ52" i="23"/>
  <c r="AJ53" i="23"/>
  <c r="AJ54" i="23"/>
  <c r="AJ55" i="23"/>
  <c r="AJ56" i="23"/>
  <c r="AJ57" i="23"/>
  <c r="AJ58" i="23"/>
  <c r="AJ59" i="23"/>
  <c r="AJ60" i="23"/>
  <c r="AJ61" i="23"/>
  <c r="AJ62" i="23"/>
  <c r="AJ63" i="23"/>
  <c r="AJ64" i="23"/>
  <c r="AJ2" i="23"/>
  <c r="AJ3" i="2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2" i="21"/>
  <c r="AJ3" i="20"/>
  <c r="AJ4" i="20"/>
  <c r="AJ5" i="20"/>
  <c r="AJ6" i="20"/>
  <c r="AJ7" i="20"/>
  <c r="AJ8" i="20"/>
  <c r="AJ9" i="20"/>
  <c r="AJ10" i="20"/>
  <c r="AJ11" i="20"/>
  <c r="AJ12" i="20"/>
  <c r="AJ13" i="20"/>
  <c r="AJ14" i="20"/>
  <c r="AJ15" i="20"/>
  <c r="AJ16" i="20"/>
  <c r="AJ17" i="20"/>
  <c r="AJ18" i="20"/>
  <c r="AJ19" i="20"/>
  <c r="AJ20" i="20"/>
  <c r="AJ21" i="20"/>
  <c r="AJ22" i="20"/>
  <c r="AJ23" i="20"/>
  <c r="AJ24" i="20"/>
  <c r="AJ25" i="20"/>
  <c r="AJ26" i="20"/>
  <c r="AJ27" i="20"/>
  <c r="AJ28" i="20"/>
  <c r="AJ29" i="20"/>
  <c r="AJ30" i="20"/>
  <c r="AJ31" i="20"/>
  <c r="AJ32" i="20"/>
  <c r="AJ33" i="20"/>
  <c r="AJ34" i="20"/>
  <c r="AJ35" i="20"/>
  <c r="AJ36" i="20"/>
  <c r="AJ37" i="20"/>
  <c r="AJ38" i="20"/>
  <c r="AJ39" i="20"/>
  <c r="AJ40" i="20"/>
  <c r="AJ41" i="20"/>
  <c r="AJ42" i="20"/>
  <c r="AJ43" i="20"/>
  <c r="AJ44" i="20"/>
  <c r="AJ45" i="20"/>
  <c r="AJ46" i="20"/>
  <c r="AJ47" i="20"/>
  <c r="AJ48" i="20"/>
  <c r="AJ49" i="20"/>
  <c r="AJ50" i="20"/>
  <c r="AJ51" i="20"/>
  <c r="AJ52" i="20"/>
  <c r="AJ53" i="20"/>
  <c r="AJ54" i="20"/>
  <c r="AJ2" i="20"/>
  <c r="AJ3" i="17"/>
  <c r="AJ4" i="17"/>
  <c r="AJ5" i="17"/>
  <c r="AJ6" i="17"/>
  <c r="AJ7" i="17"/>
  <c r="AJ8" i="17"/>
  <c r="AJ9" i="17"/>
  <c r="AJ10" i="17"/>
  <c r="AJ11" i="17"/>
  <c r="AJ12" i="17"/>
  <c r="AJ13" i="17"/>
  <c r="AJ14" i="17"/>
  <c r="AJ15" i="17"/>
  <c r="AJ16" i="17"/>
  <c r="AJ17" i="17"/>
  <c r="AJ18" i="17"/>
  <c r="AJ19" i="17"/>
  <c r="AJ20" i="17"/>
  <c r="AJ21" i="17"/>
  <c r="AJ22" i="17"/>
  <c r="AJ23" i="17"/>
  <c r="AJ24" i="17"/>
  <c r="AJ25" i="17"/>
  <c r="AJ26" i="17"/>
  <c r="AJ27" i="17"/>
  <c r="AJ28" i="17"/>
  <c r="AJ29" i="17"/>
  <c r="AJ30" i="17"/>
  <c r="AJ31" i="17"/>
  <c r="AJ32" i="17"/>
  <c r="AJ33" i="17"/>
  <c r="AJ34" i="17"/>
  <c r="AJ35" i="17"/>
  <c r="AJ36" i="17"/>
  <c r="AJ37" i="17"/>
  <c r="AJ38" i="17"/>
  <c r="AJ39" i="17"/>
  <c r="AJ40" i="17"/>
  <c r="AJ41" i="17"/>
  <c r="AJ42" i="17"/>
  <c r="AJ43" i="17"/>
  <c r="AJ44" i="17"/>
  <c r="AJ45" i="17"/>
  <c r="AJ46" i="17"/>
  <c r="AJ47" i="17"/>
  <c r="AJ48" i="17"/>
  <c r="AJ49" i="17"/>
  <c r="AJ50" i="17"/>
  <c r="AJ51" i="17"/>
  <c r="AJ52" i="17"/>
  <c r="AJ53" i="17"/>
  <c r="AJ2" i="17"/>
  <c r="AJ3" i="16"/>
  <c r="AJ4" i="16"/>
  <c r="AJ5" i="16"/>
  <c r="AJ6" i="16"/>
  <c r="AJ7" i="16"/>
  <c r="AJ8" i="16"/>
  <c r="AJ9" i="16"/>
  <c r="AJ10" i="16"/>
  <c r="AJ11" i="16"/>
  <c r="AJ12" i="16"/>
  <c r="AJ13" i="16"/>
  <c r="AJ14" i="16"/>
  <c r="AJ15" i="16"/>
  <c r="AJ16" i="16"/>
  <c r="AJ17" i="16"/>
  <c r="AJ18" i="16"/>
  <c r="AJ19" i="16"/>
  <c r="AJ20" i="16"/>
  <c r="AJ21" i="16"/>
  <c r="AJ22" i="16"/>
  <c r="AJ23" i="16"/>
  <c r="AJ24" i="16"/>
  <c r="AJ25" i="16"/>
  <c r="AJ26" i="16"/>
  <c r="AJ27" i="16"/>
  <c r="AJ28" i="16"/>
  <c r="AJ29" i="16"/>
  <c r="AJ30" i="16"/>
  <c r="AJ31" i="16"/>
  <c r="AJ32" i="16"/>
  <c r="AJ33" i="16"/>
  <c r="AJ34" i="16"/>
  <c r="AJ35" i="16"/>
  <c r="AJ36" i="16"/>
  <c r="AJ37" i="16"/>
  <c r="AJ38" i="16"/>
  <c r="AJ39" i="16"/>
  <c r="AJ40" i="16"/>
  <c r="AJ41" i="16"/>
  <c r="AJ42" i="16"/>
  <c r="AJ43" i="16"/>
  <c r="AJ44" i="16"/>
  <c r="AJ45" i="16"/>
  <c r="AJ46" i="16"/>
  <c r="AJ47" i="16"/>
  <c r="AJ2" i="16"/>
  <c r="AJ3" i="15"/>
  <c r="AJ4" i="15"/>
  <c r="AJ5" i="15"/>
  <c r="AJ6" i="15"/>
  <c r="AJ7" i="15"/>
  <c r="AJ8" i="15"/>
  <c r="AJ9" i="15"/>
  <c r="AJ10" i="15"/>
  <c r="AJ11" i="15"/>
  <c r="AJ12" i="15"/>
  <c r="AJ13" i="15"/>
  <c r="AJ14" i="15"/>
  <c r="AJ15" i="15"/>
  <c r="AJ16" i="15"/>
  <c r="AJ17" i="15"/>
  <c r="AJ18" i="15"/>
  <c r="AJ19" i="15"/>
  <c r="AJ20" i="15"/>
  <c r="AJ21" i="15"/>
  <c r="AJ22" i="15"/>
  <c r="AJ23" i="15"/>
  <c r="AJ24" i="15"/>
  <c r="AJ25" i="15"/>
  <c r="AJ26" i="15"/>
  <c r="AJ27" i="15"/>
  <c r="AJ28" i="15"/>
  <c r="AJ29" i="15"/>
  <c r="AJ30" i="15"/>
  <c r="AJ31" i="15"/>
  <c r="AJ32" i="15"/>
  <c r="AJ33" i="15"/>
  <c r="AJ34" i="15"/>
  <c r="AJ35" i="15"/>
  <c r="AJ36" i="15"/>
  <c r="AJ37" i="15"/>
  <c r="AJ38" i="15"/>
  <c r="AJ39" i="15"/>
  <c r="AJ40" i="15"/>
  <c r="AJ41" i="15"/>
  <c r="AJ42" i="15"/>
  <c r="AJ2" i="15"/>
  <c r="AJ2" i="13"/>
  <c r="AJ3" i="13"/>
  <c r="AJ4" i="13"/>
  <c r="AJ5" i="13"/>
  <c r="AJ6" i="13"/>
  <c r="AJ7" i="13"/>
  <c r="AJ8" i="13"/>
  <c r="AJ9" i="13"/>
  <c r="AJ10" i="13"/>
  <c r="AJ11" i="13"/>
  <c r="AJ12" i="13"/>
  <c r="AJ13" i="13"/>
  <c r="AJ14" i="13"/>
  <c r="AJ15" i="13"/>
  <c r="AJ16" i="13"/>
  <c r="AJ17" i="13"/>
  <c r="AJ18" i="13"/>
  <c r="AJ19" i="13"/>
  <c r="AJ20" i="13"/>
  <c r="AJ21" i="13"/>
  <c r="AJ22" i="13"/>
  <c r="AJ23" i="13"/>
  <c r="AJ24" i="13"/>
  <c r="AJ25" i="13"/>
  <c r="AJ26" i="13"/>
  <c r="AJ27" i="13"/>
  <c r="AJ28" i="13"/>
  <c r="AJ29" i="13"/>
  <c r="AJ30" i="13"/>
  <c r="AJ31" i="13"/>
  <c r="AJ32" i="13"/>
  <c r="AJ33" i="13"/>
  <c r="AJ34" i="13"/>
  <c r="AJ35" i="13"/>
  <c r="AJ36" i="13"/>
  <c r="AJ37" i="13"/>
  <c r="AJ38" i="13"/>
  <c r="AJ39" i="13"/>
  <c r="AJ40" i="13"/>
  <c r="C7" i="23"/>
  <c r="B7" i="23"/>
  <c r="B7" i="25" s="1"/>
  <c r="B8" i="27" s="1"/>
  <c r="C6" i="21"/>
  <c r="B6" i="21"/>
  <c r="C23" i="21"/>
  <c r="C24" i="22" s="1"/>
  <c r="C26" i="23" s="1"/>
  <c r="C26" i="25" s="1"/>
  <c r="C30" i="27" s="1"/>
  <c r="D30" i="23"/>
  <c r="D11" i="23"/>
  <c r="B6" i="22"/>
  <c r="C6" i="22"/>
  <c r="D10" i="22"/>
  <c r="D28" i="22"/>
  <c r="C40" i="22"/>
  <c r="C42" i="23" s="1"/>
  <c r="C42" i="25" s="1"/>
  <c r="C47" i="27" s="1"/>
  <c r="B23" i="21"/>
  <c r="B26" i="23" s="1"/>
  <c r="B26" i="25" s="1"/>
  <c r="D27" i="21"/>
  <c r="B39" i="21"/>
  <c r="B40" i="22" s="1"/>
  <c r="B42" i="23" s="1"/>
  <c r="B42" i="25" s="1"/>
  <c r="B47" i="27" s="1"/>
  <c r="B45" i="22"/>
  <c r="C44" i="21"/>
  <c r="C45" i="22" s="1"/>
  <c r="B49" i="23"/>
  <c r="B49" i="25" s="1"/>
  <c r="B54" i="27" s="1"/>
  <c r="C46" i="21"/>
  <c r="C47" i="22" s="1"/>
  <c r="C49" i="23" s="1"/>
  <c r="B50" i="21"/>
  <c r="B51" i="22" s="1"/>
  <c r="B53" i="23" s="1"/>
  <c r="B53" i="25" s="1"/>
  <c r="C50" i="21"/>
  <c r="C51" i="22" s="1"/>
  <c r="C53" i="23" s="1"/>
  <c r="B57" i="23"/>
  <c r="B57" i="25" s="1"/>
  <c r="B62" i="27" s="1"/>
  <c r="C54" i="21"/>
  <c r="B59" i="22"/>
  <c r="B61" i="23" s="1"/>
  <c r="B61" i="25" s="1"/>
  <c r="B66" i="27" s="1"/>
  <c r="C58" i="21"/>
  <c r="C59" i="22" s="1"/>
  <c r="C61" i="23" s="1"/>
  <c r="C61" i="25" s="1"/>
  <c r="C66" i="27" s="1"/>
  <c r="D25" i="20"/>
  <c r="C51" i="20"/>
  <c r="C47" i="23"/>
  <c r="C47" i="25"/>
  <c r="C52" i="27" s="1"/>
  <c r="C49" i="25"/>
  <c r="C54" i="27" s="1"/>
  <c r="C53" i="25"/>
  <c r="C58" i="27" s="1"/>
  <c r="C6" i="23"/>
  <c r="C6" i="25" s="1"/>
  <c r="C7" i="27" s="1"/>
  <c r="D11" i="25"/>
  <c r="D12" i="27" s="1"/>
  <c r="D30" i="25"/>
  <c r="D4" i="7"/>
  <c r="B51" i="20"/>
  <c r="C19" i="16"/>
  <c r="C20" i="17" s="1"/>
  <c r="C20" i="19" s="1"/>
  <c r="C20" i="20" s="1"/>
  <c r="C21" i="21" s="1"/>
  <c r="C22" i="22" s="1"/>
  <c r="C24" i="23" s="1"/>
  <c r="C50" i="19"/>
  <c r="C50" i="20" s="1"/>
  <c r="C57" i="21" s="1"/>
  <c r="C58" i="22" s="1"/>
  <c r="C60" i="23" s="1"/>
  <c r="B50" i="19"/>
  <c r="B50" i="20" s="1"/>
  <c r="B57" i="21" s="1"/>
  <c r="B58" i="22" s="1"/>
  <c r="B60" i="23" s="1"/>
  <c r="B60" i="25" s="1"/>
  <c r="C38" i="19"/>
  <c r="C38" i="20" s="1"/>
  <c r="C41" i="21" s="1"/>
  <c r="C42" i="22" s="1"/>
  <c r="C44" i="23" s="1"/>
  <c r="C44" i="25" s="1"/>
  <c r="C49" i="27" s="1"/>
  <c r="B38" i="19"/>
  <c r="B38" i="20" s="1"/>
  <c r="B41" i="21" s="1"/>
  <c r="B42" i="22" s="1"/>
  <c r="B44" i="23" s="1"/>
  <c r="B44" i="25" s="1"/>
  <c r="B31" i="19"/>
  <c r="B31" i="20" s="1"/>
  <c r="B33" i="21" s="1"/>
  <c r="B34" i="22" s="1"/>
  <c r="B36" i="23" s="1"/>
  <c r="B36" i="25" s="1"/>
  <c r="B41" i="27" s="1"/>
  <c r="C31" i="19"/>
  <c r="C31" i="20" s="1"/>
  <c r="C33" i="21" s="1"/>
  <c r="C34" i="22" s="1"/>
  <c r="C36" i="23" s="1"/>
  <c r="C36" i="25" s="1"/>
  <c r="C41" i="27" s="1"/>
  <c r="D21" i="19"/>
  <c r="D29" i="27" s="1"/>
  <c r="D20" i="19"/>
  <c r="D27" i="27" s="1"/>
  <c r="B28" i="19"/>
  <c r="B28" i="20" s="1"/>
  <c r="B30" i="21" s="1"/>
  <c r="B31" i="22" s="1"/>
  <c r="B33" i="23" s="1"/>
  <c r="B33" i="25" s="1"/>
  <c r="B38" i="27" s="1"/>
  <c r="B9" i="16"/>
  <c r="B9" i="17"/>
  <c r="B9" i="19" s="1"/>
  <c r="B9" i="20" s="1"/>
  <c r="B10" i="21" s="1"/>
  <c r="B11" i="22" s="1"/>
  <c r="B12" i="23" s="1"/>
  <c r="B12" i="25" s="1"/>
  <c r="B13" i="27" s="1"/>
  <c r="C11" i="16"/>
  <c r="C11" i="17" s="1"/>
  <c r="C11" i="19" s="1"/>
  <c r="C11" i="20" s="1"/>
  <c r="C12" i="21" s="1"/>
  <c r="B11" i="16"/>
  <c r="B11" i="17" s="1"/>
  <c r="C32" i="16"/>
  <c r="C36" i="17" s="1"/>
  <c r="C36" i="19" s="1"/>
  <c r="C36" i="20" s="1"/>
  <c r="C38" i="21" s="1"/>
  <c r="C39" i="22" s="1"/>
  <c r="C41" i="23" s="1"/>
  <c r="B32" i="16"/>
  <c r="B36" i="17" s="1"/>
  <c r="B36" i="19" s="1"/>
  <c r="B36" i="20" s="1"/>
  <c r="B38" i="21" s="1"/>
  <c r="B39" i="22" s="1"/>
  <c r="B41" i="23" s="1"/>
  <c r="C29" i="16"/>
  <c r="C33" i="17" s="1"/>
  <c r="C33" i="19" s="1"/>
  <c r="C33" i="20" s="1"/>
  <c r="C35" i="21" s="1"/>
  <c r="C36" i="22" s="1"/>
  <c r="C38" i="23" s="1"/>
  <c r="B28" i="16"/>
  <c r="B32" i="17" s="1"/>
  <c r="B32" i="19" s="1"/>
  <c r="B32" i="20" s="1"/>
  <c r="B34" i="21" s="1"/>
  <c r="B35" i="22" s="1"/>
  <c r="B37" i="23" s="1"/>
  <c r="B29" i="16"/>
  <c r="B33" i="17" s="1"/>
  <c r="B33" i="19" s="1"/>
  <c r="B33" i="20" s="1"/>
  <c r="B35" i="21" s="1"/>
  <c r="B36" i="22" s="1"/>
  <c r="B38" i="23" s="1"/>
  <c r="B38" i="25" s="1"/>
  <c r="B43" i="27" s="1"/>
  <c r="C28" i="16"/>
  <c r="C32" i="17" s="1"/>
  <c r="C32" i="19" s="1"/>
  <c r="C32" i="20" s="1"/>
  <c r="C34" i="21" s="1"/>
  <c r="C35" i="22" s="1"/>
  <c r="C37" i="23" s="1"/>
  <c r="C37" i="25" s="1"/>
  <c r="C42" i="27" s="1"/>
  <c r="B19" i="16"/>
  <c r="B20" i="17" s="1"/>
  <c r="B20" i="19" s="1"/>
  <c r="B20" i="20" s="1"/>
  <c r="B21" i="21" s="1"/>
  <c r="B22" i="22" s="1"/>
  <c r="B24" i="23" s="1"/>
  <c r="B24" i="25" s="1"/>
  <c r="B27" i="27" s="1"/>
  <c r="C9" i="16"/>
  <c r="D51" i="19"/>
  <c r="D46" i="19"/>
  <c r="D60" i="27" s="1"/>
  <c r="D47" i="19"/>
  <c r="D61" i="27" s="1"/>
  <c r="D48" i="19"/>
  <c r="D63" i="27" s="1"/>
  <c r="D49" i="19"/>
  <c r="D64" i="27" s="1"/>
  <c r="D50" i="19"/>
  <c r="D65" i="27" s="1"/>
  <c r="D52" i="19"/>
  <c r="D69" i="27" s="1"/>
  <c r="D53" i="19"/>
  <c r="D70" i="27" s="1"/>
  <c r="B7" i="8"/>
  <c r="C7" i="8"/>
  <c r="D31" i="19"/>
  <c r="D41" i="27" s="1"/>
  <c r="D33" i="17"/>
  <c r="D32" i="17"/>
  <c r="D20" i="17"/>
  <c r="D18" i="19" s="1"/>
  <c r="D24" i="27" s="1"/>
  <c r="D9" i="17"/>
  <c r="D9" i="19" s="1"/>
  <c r="D13" i="27" s="1"/>
  <c r="D30" i="15"/>
  <c r="D42" i="15"/>
  <c r="D16" i="16"/>
  <c r="D35" i="16"/>
  <c r="D47" i="16"/>
  <c r="B34" i="12"/>
  <c r="C34" i="12"/>
  <c r="C39" i="12"/>
  <c r="B39" i="12"/>
  <c r="C13" i="12"/>
  <c r="C9" i="12"/>
  <c r="C8" i="12"/>
  <c r="C7" i="12"/>
  <c r="B13" i="12"/>
  <c r="B7" i="12"/>
  <c r="B8" i="12"/>
  <c r="B9" i="12"/>
  <c r="B12" i="11"/>
  <c r="B12" i="12" s="1"/>
  <c r="C12" i="11"/>
  <c r="C12" i="12" s="1"/>
  <c r="B20" i="8"/>
  <c r="B22" i="11" s="1"/>
  <c r="B23" i="12" s="1"/>
  <c r="B8" i="11"/>
  <c r="C8" i="11"/>
  <c r="B29" i="8"/>
  <c r="B32" i="11" s="1"/>
  <c r="B33" i="12" s="1"/>
  <c r="B7" i="11"/>
  <c r="C37" i="8"/>
  <c r="C21" i="11" s="1"/>
  <c r="C22" i="12" s="1"/>
  <c r="C38" i="8"/>
  <c r="C23" i="11" s="1"/>
  <c r="C24" i="12" s="1"/>
  <c r="C39" i="8"/>
  <c r="C6" i="11" s="1"/>
  <c r="C6" i="12" s="1"/>
  <c r="C40" i="8"/>
  <c r="C41" i="8"/>
  <c r="C10" i="11" s="1"/>
  <c r="C10" i="12" s="1"/>
  <c r="B39" i="8"/>
  <c r="B6" i="11" s="1"/>
  <c r="B6" i="12" s="1"/>
  <c r="B40" i="8"/>
  <c r="B41" i="8"/>
  <c r="B10" i="11" s="1"/>
  <c r="B10" i="12" s="1"/>
  <c r="B14" i="8"/>
  <c r="B15" i="11" s="1"/>
  <c r="B16" i="12" s="1"/>
  <c r="B13" i="8"/>
  <c r="B14" i="11" s="1"/>
  <c r="B15" i="12" s="1"/>
  <c r="C14" i="8"/>
  <c r="C15" i="11" s="1"/>
  <c r="C16" i="12" s="1"/>
  <c r="C13" i="8"/>
  <c r="C14" i="11" s="1"/>
  <c r="C15" i="12" s="1"/>
  <c r="B9" i="11"/>
  <c r="C7" i="11"/>
  <c r="C33" i="9"/>
  <c r="C34" i="9"/>
  <c r="C35" i="9"/>
  <c r="C36" i="9"/>
  <c r="C37" i="9"/>
  <c r="C38" i="9"/>
  <c r="C39" i="9"/>
  <c r="C40" i="9"/>
  <c r="C32" i="9"/>
  <c r="B33" i="9"/>
  <c r="B34" i="9"/>
  <c r="B35" i="9"/>
  <c r="B36" i="9"/>
  <c r="B37" i="9"/>
  <c r="B38" i="9"/>
  <c r="B39" i="9"/>
  <c r="B40" i="9"/>
  <c r="B32" i="9"/>
  <c r="B37" i="8"/>
  <c r="B21" i="11" s="1"/>
  <c r="B22" i="12" s="1"/>
  <c r="B38" i="8"/>
  <c r="B23" i="11" s="1"/>
  <c r="B24" i="12" s="1"/>
  <c r="B36" i="8"/>
  <c r="B34" i="11" s="1"/>
  <c r="B36" i="12" s="1"/>
  <c r="C36" i="8"/>
  <c r="C33" i="8"/>
  <c r="C32" i="8"/>
  <c r="C36" i="11" s="1"/>
  <c r="C38" i="12" s="1"/>
  <c r="B33" i="8"/>
  <c r="B37" i="11" s="1"/>
  <c r="B40" i="12" s="1"/>
  <c r="D37" i="8"/>
  <c r="D21" i="11" s="1"/>
  <c r="D22" i="12" s="1"/>
  <c r="C34" i="11"/>
  <c r="C36" i="12" s="1"/>
  <c r="C9" i="11"/>
  <c r="B28" i="8"/>
  <c r="B31" i="11" s="1"/>
  <c r="B32" i="12" s="1"/>
  <c r="C29" i="8"/>
  <c r="C32" i="11" s="1"/>
  <c r="C33" i="12" s="1"/>
  <c r="D11" i="8"/>
  <c r="D11" i="11" s="1"/>
  <c r="D11" i="12" s="1"/>
  <c r="C17" i="8"/>
  <c r="C18" i="11" s="1"/>
  <c r="C19" i="12" s="1"/>
  <c r="C10" i="8"/>
  <c r="B10" i="8"/>
  <c r="C6" i="8"/>
  <c r="C28" i="8"/>
  <c r="C31" i="11" s="1"/>
  <c r="C32" i="12" s="1"/>
  <c r="B6" i="8"/>
  <c r="C27" i="8"/>
  <c r="C30" i="11" s="1"/>
  <c r="C31" i="12" s="1"/>
  <c r="B27" i="8"/>
  <c r="B30" i="11" s="1"/>
  <c r="B31" i="12" s="1"/>
  <c r="B29" i="9"/>
  <c r="B32" i="8"/>
  <c r="B36" i="11" s="1"/>
  <c r="B38" i="12" s="1"/>
  <c r="B31" i="8"/>
  <c r="B35" i="11" s="1"/>
  <c r="B37" i="12" s="1"/>
  <c r="B30" i="8"/>
  <c r="B33" i="11" s="1"/>
  <c r="B35" i="12" s="1"/>
  <c r="B26" i="8"/>
  <c r="B29" i="11" s="1"/>
  <c r="B30" i="12" s="1"/>
  <c r="B25" i="8"/>
  <c r="B28" i="11" s="1"/>
  <c r="B29" i="12" s="1"/>
  <c r="B24" i="8"/>
  <c r="B27" i="11" s="1"/>
  <c r="B28" i="12" s="1"/>
  <c r="B23" i="8"/>
  <c r="B26" i="11" s="1"/>
  <c r="B27" i="12" s="1"/>
  <c r="B22" i="8"/>
  <c r="B25" i="11" s="1"/>
  <c r="B26" i="12" s="1"/>
  <c r="B21" i="8"/>
  <c r="B24" i="11" s="1"/>
  <c r="B25" i="12" s="1"/>
  <c r="B19" i="8"/>
  <c r="B20" i="11" s="1"/>
  <c r="B21" i="12" s="1"/>
  <c r="B18" i="8"/>
  <c r="B19" i="11" s="1"/>
  <c r="B20" i="12" s="1"/>
  <c r="B17" i="8"/>
  <c r="B18" i="11" s="1"/>
  <c r="B19" i="12" s="1"/>
  <c r="B16" i="8"/>
  <c r="B17" i="11" s="1"/>
  <c r="B18" i="12" s="1"/>
  <c r="B15" i="8"/>
  <c r="B16" i="11" s="1"/>
  <c r="B17" i="12" s="1"/>
  <c r="B12" i="8"/>
  <c r="B13" i="11" s="1"/>
  <c r="B14" i="12" s="1"/>
  <c r="B11" i="8"/>
  <c r="B11" i="11" s="1"/>
  <c r="B11" i="12" s="1"/>
  <c r="B9" i="8"/>
  <c r="B8" i="8"/>
  <c r="B4" i="8"/>
  <c r="B4" i="11" s="1"/>
  <c r="B4" i="12" s="1"/>
  <c r="B3" i="8"/>
  <c r="B3" i="11" s="1"/>
  <c r="B3" i="12" s="1"/>
  <c r="B2" i="8"/>
  <c r="B2" i="11" s="1"/>
  <c r="B2" i="12" s="1"/>
  <c r="C30" i="8"/>
  <c r="C33" i="11" s="1"/>
  <c r="C35" i="12" s="1"/>
  <c r="C25" i="9"/>
  <c r="D5" i="7"/>
  <c r="G4" i="7"/>
  <c r="I4" i="7" s="1"/>
  <c r="B9" i="29" l="1"/>
  <c r="C9" i="29"/>
  <c r="B14" i="28"/>
  <c r="C14" i="28" s="1"/>
  <c r="B37" i="28"/>
  <c r="C37" i="28" s="1"/>
  <c r="B40" i="28"/>
  <c r="C40" i="28" s="1"/>
  <c r="B48" i="28"/>
  <c r="C48" i="28" s="1"/>
  <c r="B64" i="28"/>
  <c r="C64" i="28" s="1"/>
  <c r="B60" i="28"/>
  <c r="C60" i="28" s="1"/>
  <c r="B56" i="28"/>
  <c r="C56" i="28" s="1"/>
  <c r="B53" i="28"/>
  <c r="C53" i="28" s="1"/>
  <c r="B46" i="28"/>
  <c r="C46" i="28" s="1"/>
  <c r="B30" i="27"/>
  <c r="B9" i="28"/>
  <c r="C9" i="28" s="1"/>
  <c r="B17" i="28"/>
  <c r="C17" i="28" s="1"/>
  <c r="B66" i="28"/>
  <c r="C66" i="28" s="1"/>
  <c r="B20" i="28"/>
  <c r="C20" i="28" s="1"/>
  <c r="B26" i="28"/>
  <c r="C26" i="28" s="1"/>
  <c r="B36" i="28"/>
  <c r="C36" i="28" s="1"/>
  <c r="B13" i="28"/>
  <c r="C13" i="28" s="1"/>
  <c r="B6" i="28"/>
  <c r="C6" i="28" s="1"/>
  <c r="B63" i="28"/>
  <c r="C63" i="28" s="1"/>
  <c r="B42" i="28"/>
  <c r="C42" i="28" s="1"/>
  <c r="B27" i="28"/>
  <c r="C27" i="28" s="1"/>
  <c r="D66" i="27"/>
  <c r="D67" i="27"/>
  <c r="C9" i="17"/>
  <c r="C9" i="19" s="1"/>
  <c r="B25" i="22"/>
  <c r="B27" i="23" s="1"/>
  <c r="B27" i="25" s="1"/>
  <c r="D12" i="23"/>
  <c r="D11" i="22"/>
  <c r="D10" i="21"/>
  <c r="D9" i="20"/>
  <c r="D12" i="25"/>
  <c r="D22" i="23"/>
  <c r="D20" i="22"/>
  <c r="D19" i="21"/>
  <c r="D18" i="20"/>
  <c r="D22" i="25"/>
  <c r="D36" i="23"/>
  <c r="D34" i="22"/>
  <c r="D33" i="21"/>
  <c r="D31" i="20"/>
  <c r="D36" i="25"/>
  <c r="D64" i="23"/>
  <c r="D62" i="22"/>
  <c r="D61" i="21"/>
  <c r="D54" i="20"/>
  <c r="D64" i="25"/>
  <c r="D63" i="23"/>
  <c r="D61" i="22"/>
  <c r="D60" i="21"/>
  <c r="D53" i="20"/>
  <c r="D63" i="25"/>
  <c r="D60" i="23"/>
  <c r="D58" i="22"/>
  <c r="D57" i="21"/>
  <c r="D50" i="20"/>
  <c r="D60" i="25"/>
  <c r="D59" i="23"/>
  <c r="D57" i="22"/>
  <c r="D56" i="21"/>
  <c r="D49" i="20"/>
  <c r="D59" i="25"/>
  <c r="D58" i="23"/>
  <c r="D56" i="22"/>
  <c r="D55" i="21"/>
  <c r="D48" i="20"/>
  <c r="D58" i="25"/>
  <c r="D56" i="23"/>
  <c r="D54" i="22"/>
  <c r="D53" i="21"/>
  <c r="D47" i="20"/>
  <c r="D56" i="25"/>
  <c r="D55" i="23"/>
  <c r="D53" i="22"/>
  <c r="D52" i="21"/>
  <c r="D46" i="20"/>
  <c r="D55" i="25"/>
  <c r="D61" i="23"/>
  <c r="D62" i="23"/>
  <c r="D59" i="22"/>
  <c r="D60" i="22"/>
  <c r="D58" i="21"/>
  <c r="D59" i="21"/>
  <c r="D51" i="20"/>
  <c r="D52" i="20"/>
  <c r="D62" i="25"/>
  <c r="D61" i="25"/>
  <c r="C9" i="20"/>
  <c r="C10" i="21" s="1"/>
  <c r="C11" i="22" s="1"/>
  <c r="C12" i="23" s="1"/>
  <c r="C12" i="25" s="1"/>
  <c r="C13" i="27" s="1"/>
  <c r="D24" i="23"/>
  <c r="D22" i="22"/>
  <c r="D21" i="21"/>
  <c r="D20" i="20"/>
  <c r="D24" i="25"/>
  <c r="D25" i="23"/>
  <c r="D23" i="22"/>
  <c r="D22" i="21"/>
  <c r="D21" i="20"/>
  <c r="D25" i="25"/>
  <c r="C13" i="22"/>
  <c r="C14" i="23" s="1"/>
  <c r="C14" i="25" s="1"/>
  <c r="C15" i="27" s="1"/>
  <c r="C58" i="23"/>
  <c r="C55" i="22"/>
  <c r="C57" i="23" s="1"/>
  <c r="B6" i="23"/>
  <c r="B6" i="25" s="1"/>
  <c r="B7" i="27" s="1"/>
  <c r="B47" i="23"/>
  <c r="B47" i="25" s="1"/>
  <c r="B52" i="27" s="1"/>
  <c r="C57" i="25"/>
  <c r="C62" i="27" s="1"/>
  <c r="C58" i="25"/>
  <c r="C63" i="27" s="1"/>
  <c r="C60" i="25"/>
  <c r="C65" i="27" s="1"/>
  <c r="C24" i="25"/>
  <c r="C27" i="27" s="1"/>
  <c r="C38" i="25"/>
  <c r="C43" i="27" s="1"/>
  <c r="C31" i="27"/>
  <c r="C41" i="25"/>
  <c r="C46" i="27" s="1"/>
  <c r="D28" i="19"/>
  <c r="D38" i="27" s="1"/>
  <c r="D33" i="19"/>
  <c r="D43" i="27" s="1"/>
  <c r="C28" i="19"/>
  <c r="C28" i="20" s="1"/>
  <c r="B13" i="19"/>
  <c r="B13" i="20" s="1"/>
  <c r="B14" i="21" s="1"/>
  <c r="B15" i="22" s="1"/>
  <c r="B17" i="23" s="1"/>
  <c r="B17" i="25" s="1"/>
  <c r="B11" i="19"/>
  <c r="B11" i="20" s="1"/>
  <c r="B12" i="21" s="1"/>
  <c r="B13" i="22" s="1"/>
  <c r="B14" i="23" s="1"/>
  <c r="B14" i="25" s="1"/>
  <c r="B15" i="27" s="1"/>
  <c r="C13" i="17"/>
  <c r="C13" i="19" s="1"/>
  <c r="C13" i="20" s="1"/>
  <c r="C14" i="21" s="1"/>
  <c r="C15" i="22" s="1"/>
  <c r="C17" i="23" s="1"/>
  <c r="C17" i="25" s="1"/>
  <c r="C18" i="27" s="1"/>
  <c r="D17" i="17"/>
  <c r="D15" i="19" s="1"/>
  <c r="D21" i="27" s="1"/>
  <c r="D53" i="17"/>
  <c r="D45" i="19" s="1"/>
  <c r="D59" i="27" s="1"/>
  <c r="D40" i="17"/>
  <c r="D35" i="19" s="1"/>
  <c r="D45" i="27" s="1"/>
  <c r="C29" i="9"/>
  <c r="C37" i="11"/>
  <c r="C40" i="12" s="1"/>
  <c r="B8" i="9"/>
  <c r="B16" i="9"/>
  <c r="B2" i="9"/>
  <c r="C26" i="9"/>
  <c r="B17" i="9"/>
  <c r="B26" i="9"/>
  <c r="Q27" i="7"/>
  <c r="S27" i="7" s="1"/>
  <c r="U27" i="7" s="1"/>
  <c r="W27" i="7" s="1"/>
  <c r="B16" i="28" l="1"/>
  <c r="C16" i="28" s="1"/>
  <c r="B19" i="28"/>
  <c r="C19" i="28" s="1"/>
  <c r="B51" i="28"/>
  <c r="C51" i="28" s="1"/>
  <c r="B8" i="28"/>
  <c r="C8" i="28" s="1"/>
  <c r="B41" i="28"/>
  <c r="C41" i="28" s="1"/>
  <c r="B45" i="28"/>
  <c r="C45" i="28" s="1"/>
  <c r="B31" i="28"/>
  <c r="C31" i="28" s="1"/>
  <c r="B29" i="28"/>
  <c r="C29" i="28" s="1"/>
  <c r="B30" i="28"/>
  <c r="C30" i="28" s="1"/>
  <c r="D40" i="23"/>
  <c r="D38" i="22"/>
  <c r="D37" i="21"/>
  <c r="D35" i="20"/>
  <c r="D40" i="25"/>
  <c r="D54" i="23"/>
  <c r="D52" i="22"/>
  <c r="D51" i="21"/>
  <c r="D45" i="20"/>
  <c r="D54" i="25"/>
  <c r="D19" i="23"/>
  <c r="D17" i="22"/>
  <c r="D16" i="21"/>
  <c r="D15" i="20"/>
  <c r="D19" i="25"/>
  <c r="D38" i="23"/>
  <c r="D36" i="22"/>
  <c r="D35" i="21"/>
  <c r="D33" i="20"/>
  <c r="D38" i="25"/>
  <c r="D33" i="23"/>
  <c r="D31" i="22"/>
  <c r="D30" i="21"/>
  <c r="D28" i="20"/>
  <c r="D33" i="25"/>
  <c r="Y27" i="7"/>
  <c r="AA27" i="7" s="1"/>
  <c r="AC27" i="7" s="1"/>
  <c r="AE27" i="7" s="1"/>
  <c r="D8" i="9"/>
  <c r="Q92" i="6"/>
  <c r="Q91" i="6"/>
  <c r="Q41" i="6"/>
  <c r="M114" i="7"/>
  <c r="O114" i="7" s="1"/>
  <c r="Q114" i="7" s="1"/>
  <c r="S114" i="7" s="1"/>
  <c r="U114" i="7" s="1"/>
  <c r="W114" i="7" s="1"/>
  <c r="Y114" i="7" s="1"/>
  <c r="AA114" i="7" s="1"/>
  <c r="AC114" i="7" s="1"/>
  <c r="AE114" i="7" s="1"/>
  <c r="D114" i="7"/>
  <c r="M113" i="7"/>
  <c r="O113" i="7" s="1"/>
  <c r="Q113" i="7" s="1"/>
  <c r="S113" i="7" s="1"/>
  <c r="U113" i="7" s="1"/>
  <c r="W113" i="7" s="1"/>
  <c r="Y113" i="7" s="1"/>
  <c r="AA113" i="7" s="1"/>
  <c r="AC113" i="7" s="1"/>
  <c r="AE113" i="7" s="1"/>
  <c r="D113" i="7"/>
  <c r="M111" i="7"/>
  <c r="O111" i="7" s="1"/>
  <c r="Q111" i="7" s="1"/>
  <c r="S111" i="7" s="1"/>
  <c r="U111" i="7" s="1"/>
  <c r="W111" i="7" s="1"/>
  <c r="D111" i="7"/>
  <c r="M110" i="7"/>
  <c r="O110" i="7" s="1"/>
  <c r="Q110" i="7" s="1"/>
  <c r="S110" i="7" s="1"/>
  <c r="U110" i="7" s="1"/>
  <c r="W110" i="7" s="1"/>
  <c r="D110" i="7"/>
  <c r="M108" i="7"/>
  <c r="O108" i="7" s="1"/>
  <c r="Q108" i="7" s="1"/>
  <c r="S108" i="7" s="1"/>
  <c r="U108" i="7" s="1"/>
  <c r="W108" i="7" s="1"/>
  <c r="D108" i="7"/>
  <c r="M107" i="7"/>
  <c r="O107" i="7" s="1"/>
  <c r="Q107" i="7" s="1"/>
  <c r="S107" i="7" s="1"/>
  <c r="U107" i="7" s="1"/>
  <c r="W107" i="7" s="1"/>
  <c r="D107" i="7"/>
  <c r="M105" i="7"/>
  <c r="O105" i="7" s="1"/>
  <c r="Q105" i="7" s="1"/>
  <c r="S105" i="7" s="1"/>
  <c r="U105" i="7" s="1"/>
  <c r="W105" i="7" s="1"/>
  <c r="D105" i="7"/>
  <c r="M104" i="7"/>
  <c r="O104" i="7" s="1"/>
  <c r="Q104" i="7" s="1"/>
  <c r="S104" i="7" s="1"/>
  <c r="U104" i="7" s="1"/>
  <c r="W104" i="7" s="1"/>
  <c r="D104" i="7"/>
  <c r="M102" i="7"/>
  <c r="O102" i="7" s="1"/>
  <c r="Q102" i="7" s="1"/>
  <c r="S102" i="7" s="1"/>
  <c r="U102" i="7" s="1"/>
  <c r="W102" i="7" s="1"/>
  <c r="D102" i="7"/>
  <c r="M101" i="7"/>
  <c r="O101" i="7" s="1"/>
  <c r="Q101" i="7" s="1"/>
  <c r="S101" i="7" s="1"/>
  <c r="U101" i="7" s="1"/>
  <c r="W101" i="7" s="1"/>
  <c r="D101" i="7"/>
  <c r="F116" i="7"/>
  <c r="H116" i="7"/>
  <c r="J116" i="7"/>
  <c r="L116" i="7"/>
  <c r="N116" i="7"/>
  <c r="P116" i="7"/>
  <c r="R116" i="7"/>
  <c r="T116" i="7"/>
  <c r="V116" i="7"/>
  <c r="X116" i="7"/>
  <c r="Z116" i="7"/>
  <c r="AB116" i="7"/>
  <c r="I86" i="7"/>
  <c r="K86" i="7" s="1"/>
  <c r="M86" i="7" s="1"/>
  <c r="O86" i="7" s="1"/>
  <c r="I85" i="7"/>
  <c r="K85" i="7" s="1"/>
  <c r="M85" i="7" s="1"/>
  <c r="O85" i="7" s="1"/>
  <c r="Y101" i="7" l="1"/>
  <c r="AA101" i="7" s="1"/>
  <c r="AC101" i="7" s="1"/>
  <c r="AE101" i="7" s="1"/>
  <c r="Y102" i="7"/>
  <c r="AA102" i="7" s="1"/>
  <c r="AC102" i="7" s="1"/>
  <c r="AE102" i="7" s="1"/>
  <c r="Y104" i="7"/>
  <c r="AA104" i="7" s="1"/>
  <c r="AC104" i="7" s="1"/>
  <c r="AE104" i="7" s="1"/>
  <c r="Y105" i="7"/>
  <c r="AA105" i="7" s="1"/>
  <c r="AC105" i="7" s="1"/>
  <c r="AE105" i="7" s="1"/>
  <c r="Y107" i="7"/>
  <c r="AA107" i="7" s="1"/>
  <c r="AC107" i="7" s="1"/>
  <c r="AE107" i="7" s="1"/>
  <c r="Y108" i="7"/>
  <c r="AA108" i="7" s="1"/>
  <c r="AC108" i="7" s="1"/>
  <c r="AE108" i="7" s="1"/>
  <c r="Y110" i="7"/>
  <c r="AA110" i="7" s="1"/>
  <c r="AC110" i="7" s="1"/>
  <c r="AE110" i="7" s="1"/>
  <c r="Y111" i="7"/>
  <c r="AA111" i="7" s="1"/>
  <c r="AC111" i="7" s="1"/>
  <c r="AE111" i="7" s="1"/>
  <c r="M99" i="7"/>
  <c r="O99" i="7" s="1"/>
  <c r="Q99" i="7" s="1"/>
  <c r="S99" i="7" s="1"/>
  <c r="U99" i="7" s="1"/>
  <c r="W99" i="7" s="1"/>
  <c r="D99" i="7"/>
  <c r="M98" i="7"/>
  <c r="O98" i="7" s="1"/>
  <c r="Q98" i="7" s="1"/>
  <c r="S98" i="7" s="1"/>
  <c r="U98" i="7" s="1"/>
  <c r="W98" i="7" s="1"/>
  <c r="D98" i="7"/>
  <c r="M96" i="7"/>
  <c r="O96" i="7" s="1"/>
  <c r="Q96" i="7" s="1"/>
  <c r="S96" i="7" s="1"/>
  <c r="U96" i="7" s="1"/>
  <c r="W96" i="7" s="1"/>
  <c r="D96" i="7"/>
  <c r="M95" i="7"/>
  <c r="O95" i="7" s="1"/>
  <c r="Q95" i="7" s="1"/>
  <c r="S95" i="7" s="1"/>
  <c r="U95" i="7" s="1"/>
  <c r="W95" i="7" s="1"/>
  <c r="D95" i="7"/>
  <c r="M93" i="7"/>
  <c r="O93" i="7" s="1"/>
  <c r="Q93" i="7" s="1"/>
  <c r="S93" i="7" s="1"/>
  <c r="U93" i="7" s="1"/>
  <c r="W93" i="7" s="1"/>
  <c r="D93" i="7"/>
  <c r="M92" i="7"/>
  <c r="O92" i="7" s="1"/>
  <c r="Q92" i="7" s="1"/>
  <c r="S92" i="7" s="1"/>
  <c r="U92" i="7" s="1"/>
  <c r="W92" i="7" s="1"/>
  <c r="D92" i="7"/>
  <c r="M90" i="7"/>
  <c r="O90" i="7" s="1"/>
  <c r="Q90" i="7" s="1"/>
  <c r="S90" i="7" s="1"/>
  <c r="U90" i="7" s="1"/>
  <c r="D90" i="7"/>
  <c r="M89" i="7"/>
  <c r="O89" i="7" s="1"/>
  <c r="Q89" i="7" s="1"/>
  <c r="S89" i="7" s="1"/>
  <c r="U89" i="7" s="1"/>
  <c r="W89" i="7" s="1"/>
  <c r="D89" i="7"/>
  <c r="D86" i="7"/>
  <c r="Q86" i="7" s="1"/>
  <c r="S86" i="7" s="1"/>
  <c r="U86" i="7" s="1"/>
  <c r="W86" i="7" s="1"/>
  <c r="D85" i="7"/>
  <c r="Q85" i="7" s="1"/>
  <c r="S85" i="7" s="1"/>
  <c r="U85" i="7" s="1"/>
  <c r="W85" i="7" s="1"/>
  <c r="G4" i="6"/>
  <c r="I4" i="6" s="1"/>
  <c r="K4" i="6" s="1"/>
  <c r="M4" i="6" s="1"/>
  <c r="O4" i="6" s="1"/>
  <c r="Q4" i="6" s="1"/>
  <c r="S4" i="6" s="1"/>
  <c r="U4" i="6" s="1"/>
  <c r="W4" i="6" s="1"/>
  <c r="Y4" i="6" s="1"/>
  <c r="AA4" i="6" s="1"/>
  <c r="AC4" i="6" s="1"/>
  <c r="G5" i="6"/>
  <c r="I5" i="6" s="1"/>
  <c r="G7" i="6"/>
  <c r="I7" i="6" s="1"/>
  <c r="K7" i="6" s="1"/>
  <c r="M7" i="6" s="1"/>
  <c r="O7" i="6" s="1"/>
  <c r="Q7" i="6" s="1"/>
  <c r="S7" i="6" s="1"/>
  <c r="U7" i="6" s="1"/>
  <c r="W7" i="6" s="1"/>
  <c r="Y7" i="6" s="1"/>
  <c r="AA7" i="6" s="1"/>
  <c r="AC7" i="6" s="1"/>
  <c r="G8" i="6"/>
  <c r="I8" i="6" s="1"/>
  <c r="K8" i="6" s="1"/>
  <c r="M8" i="6" s="1"/>
  <c r="O8" i="6" s="1"/>
  <c r="Q8" i="6" s="1"/>
  <c r="S8" i="6" s="1"/>
  <c r="U8" i="6" s="1"/>
  <c r="W8" i="6" s="1"/>
  <c r="Y8" i="6" s="1"/>
  <c r="AA8" i="6" s="1"/>
  <c r="G10" i="6"/>
  <c r="I10" i="6" s="1"/>
  <c r="K10" i="6" s="1"/>
  <c r="M10" i="6" s="1"/>
  <c r="O10" i="6" s="1"/>
  <c r="Q10" i="6" s="1"/>
  <c r="S10" i="6" s="1"/>
  <c r="U10" i="6" s="1"/>
  <c r="W10" i="6" s="1"/>
  <c r="Y10" i="6" s="1"/>
  <c r="AA10" i="6" s="1"/>
  <c r="AC10" i="6" s="1"/>
  <c r="G11" i="6"/>
  <c r="I11" i="6" s="1"/>
  <c r="K11" i="6" s="1"/>
  <c r="M11" i="6" s="1"/>
  <c r="O11" i="6" s="1"/>
  <c r="Q11" i="6" s="1"/>
  <c r="S11" i="6" s="1"/>
  <c r="U11" i="6" s="1"/>
  <c r="W11" i="6" s="1"/>
  <c r="G13" i="6"/>
  <c r="I13" i="6" s="1"/>
  <c r="K13" i="6" s="1"/>
  <c r="M13" i="6" s="1"/>
  <c r="O13" i="6" s="1"/>
  <c r="Q13" i="6" s="1"/>
  <c r="S13" i="6" s="1"/>
  <c r="U13" i="6" s="1"/>
  <c r="W13" i="6" s="1"/>
  <c r="Y13" i="6" s="1"/>
  <c r="AA13" i="6" s="1"/>
  <c r="AC13" i="6" s="1"/>
  <c r="AE13" i="6" s="1"/>
  <c r="D13" i="7" s="1"/>
  <c r="G13" i="7" s="1"/>
  <c r="I13" i="7" s="1"/>
  <c r="K13" i="7" s="1"/>
  <c r="M13" i="7" s="1"/>
  <c r="O13" i="7" s="1"/>
  <c r="Q13" i="7" s="1"/>
  <c r="S13" i="7" s="1"/>
  <c r="U13" i="7" s="1"/>
  <c r="W13" i="7" s="1"/>
  <c r="G14" i="6"/>
  <c r="G16" i="6"/>
  <c r="G17" i="6"/>
  <c r="G19" i="6"/>
  <c r="I19" i="6" s="1"/>
  <c r="K19" i="6" s="1"/>
  <c r="M19" i="6" s="1"/>
  <c r="O19" i="6" s="1"/>
  <c r="Q19" i="6" s="1"/>
  <c r="S19" i="6" s="1"/>
  <c r="U19" i="6" s="1"/>
  <c r="W19" i="6" s="1"/>
  <c r="Y19" i="6" s="1"/>
  <c r="AA19" i="6" s="1"/>
  <c r="AC19" i="6" s="1"/>
  <c r="G20" i="6"/>
  <c r="I20" i="6" s="1"/>
  <c r="K20" i="6" s="1"/>
  <c r="M20" i="6" s="1"/>
  <c r="O20" i="6" s="1"/>
  <c r="Q20" i="6" s="1"/>
  <c r="S20" i="6" s="1"/>
  <c r="U20" i="6" s="1"/>
  <c r="W20" i="6" s="1"/>
  <c r="Y20" i="6" s="1"/>
  <c r="AA20" i="6" s="1"/>
  <c r="AC20" i="6" s="1"/>
  <c r="G22" i="6"/>
  <c r="G23" i="6"/>
  <c r="G25" i="6"/>
  <c r="G26" i="6"/>
  <c r="G28" i="6"/>
  <c r="I28" i="6" s="1"/>
  <c r="K28" i="6" s="1"/>
  <c r="M28" i="6" s="1"/>
  <c r="O28" i="6" s="1"/>
  <c r="Q28" i="6" s="1"/>
  <c r="S28" i="6" s="1"/>
  <c r="U28" i="6" s="1"/>
  <c r="W28" i="6" s="1"/>
  <c r="Y28" i="6" s="1"/>
  <c r="AA28" i="6" s="1"/>
  <c r="AC28" i="6" s="1"/>
  <c r="G29" i="6"/>
  <c r="I29" i="6" s="1"/>
  <c r="K29" i="6" s="1"/>
  <c r="M29" i="6" s="1"/>
  <c r="O29" i="6" s="1"/>
  <c r="Q29" i="6" s="1"/>
  <c r="S29" i="6" s="1"/>
  <c r="U29" i="6" s="1"/>
  <c r="W29" i="6" s="1"/>
  <c r="Y29" i="6" s="1"/>
  <c r="AA29" i="6" s="1"/>
  <c r="AC29" i="6" s="1"/>
  <c r="AA86" i="6"/>
  <c r="AC86" i="6" s="1"/>
  <c r="AA87" i="6"/>
  <c r="AC87" i="6" s="1"/>
  <c r="W77" i="6"/>
  <c r="Y77" i="6" s="1"/>
  <c r="AA77" i="6" s="1"/>
  <c r="AC77" i="6" s="1"/>
  <c r="W78" i="6"/>
  <c r="Y78" i="6" s="1"/>
  <c r="AA78" i="6" s="1"/>
  <c r="AC78" i="6" s="1"/>
  <c r="W80" i="6"/>
  <c r="Y80" i="6" s="1"/>
  <c r="AA80" i="6" s="1"/>
  <c r="AC80" i="6" s="1"/>
  <c r="W81" i="6"/>
  <c r="Y81" i="6" s="1"/>
  <c r="AA81" i="6" s="1"/>
  <c r="AC81" i="6" s="1"/>
  <c r="W83" i="6"/>
  <c r="Y83" i="6" s="1"/>
  <c r="AA83" i="6" s="1"/>
  <c r="AC83" i="6" s="1"/>
  <c r="W84" i="6"/>
  <c r="Y84" i="6" s="1"/>
  <c r="AA84" i="6" s="1"/>
  <c r="AC84" i="6" s="1"/>
  <c r="U68" i="6"/>
  <c r="W68" i="6" s="1"/>
  <c r="Y68" i="6" s="1"/>
  <c r="AA68" i="6" s="1"/>
  <c r="AC68" i="6" s="1"/>
  <c r="U69" i="6"/>
  <c r="W69" i="6" s="1"/>
  <c r="Y69" i="6" s="1"/>
  <c r="AA69" i="6" s="1"/>
  <c r="AC69" i="6" s="1"/>
  <c r="U71" i="6"/>
  <c r="W71" i="6" s="1"/>
  <c r="Y71" i="6" s="1"/>
  <c r="AA71" i="6" s="1"/>
  <c r="AC71" i="6" s="1"/>
  <c r="U72" i="6"/>
  <c r="W72" i="6" s="1"/>
  <c r="Y72" i="6" s="1"/>
  <c r="AA72" i="6" s="1"/>
  <c r="AC72" i="6" s="1"/>
  <c r="U74" i="6"/>
  <c r="W74" i="6" s="1"/>
  <c r="Y74" i="6" s="1"/>
  <c r="AA74" i="6" s="1"/>
  <c r="AC74" i="6" s="1"/>
  <c r="U75" i="6"/>
  <c r="W75" i="6" s="1"/>
  <c r="Y75" i="6" s="1"/>
  <c r="AA75" i="6" s="1"/>
  <c r="AC75" i="6" s="1"/>
  <c r="S56" i="6"/>
  <c r="U56" i="6" s="1"/>
  <c r="W56" i="6" s="1"/>
  <c r="Y56" i="6" s="1"/>
  <c r="AA56" i="6" s="1"/>
  <c r="AC56" i="6" s="1"/>
  <c r="S57" i="6"/>
  <c r="U57" i="6" s="1"/>
  <c r="W57" i="6" s="1"/>
  <c r="Y57" i="6" s="1"/>
  <c r="AA57" i="6" s="1"/>
  <c r="AC57" i="6" s="1"/>
  <c r="S59" i="6"/>
  <c r="U59" i="6" s="1"/>
  <c r="W59" i="6" s="1"/>
  <c r="Y59" i="6" s="1"/>
  <c r="AA59" i="6" s="1"/>
  <c r="AC59" i="6" s="1"/>
  <c r="S60" i="6"/>
  <c r="U60" i="6" s="1"/>
  <c r="W60" i="6" s="1"/>
  <c r="Y60" i="6" s="1"/>
  <c r="AA60" i="6" s="1"/>
  <c r="AC60" i="6" s="1"/>
  <c r="S62" i="6"/>
  <c r="U62" i="6" s="1"/>
  <c r="W62" i="6" s="1"/>
  <c r="Y62" i="6" s="1"/>
  <c r="AA62" i="6" s="1"/>
  <c r="AC62" i="6" s="1"/>
  <c r="S63" i="6"/>
  <c r="U63" i="6" s="1"/>
  <c r="W63" i="6" s="1"/>
  <c r="Y63" i="6" s="1"/>
  <c r="AA63" i="6" s="1"/>
  <c r="AC63" i="6" s="1"/>
  <c r="S65" i="6"/>
  <c r="U65" i="6" s="1"/>
  <c r="W65" i="6" s="1"/>
  <c r="Y65" i="6" s="1"/>
  <c r="AA65" i="6" s="1"/>
  <c r="AC65" i="6" s="1"/>
  <c r="S66" i="6"/>
  <c r="U66" i="6" s="1"/>
  <c r="W66" i="6" s="1"/>
  <c r="Y66" i="6" s="1"/>
  <c r="AA66" i="6" s="1"/>
  <c r="AC66" i="6" s="1"/>
  <c r="O46" i="6"/>
  <c r="Q46" i="6" s="1"/>
  <c r="S46" i="6" s="1"/>
  <c r="U46" i="6" s="1"/>
  <c r="W46" i="6" s="1"/>
  <c r="Y46" i="6" s="1"/>
  <c r="AA46" i="6" s="1"/>
  <c r="AC46" i="6" s="1"/>
  <c r="O47" i="6"/>
  <c r="Q47" i="6" s="1"/>
  <c r="S47" i="6" s="1"/>
  <c r="U47" i="6" s="1"/>
  <c r="W47" i="6" s="1"/>
  <c r="Y47" i="6" s="1"/>
  <c r="AA47" i="6" s="1"/>
  <c r="AC47" i="6" s="1"/>
  <c r="O49" i="6"/>
  <c r="Q49" i="6" s="1"/>
  <c r="S49" i="6" s="1"/>
  <c r="U49" i="6" s="1"/>
  <c r="W49" i="6" s="1"/>
  <c r="Y49" i="6" s="1"/>
  <c r="AA49" i="6" s="1"/>
  <c r="AC49" i="6" s="1"/>
  <c r="O50" i="6"/>
  <c r="Q50" i="6" s="1"/>
  <c r="S50" i="6" s="1"/>
  <c r="U50" i="6" s="1"/>
  <c r="W50" i="6" s="1"/>
  <c r="Y50" i="6" s="1"/>
  <c r="AA50" i="6" s="1"/>
  <c r="AC50" i="6" s="1"/>
  <c r="O52" i="6"/>
  <c r="Q52" i="6" s="1"/>
  <c r="S52" i="6" s="1"/>
  <c r="U52" i="6" s="1"/>
  <c r="W52" i="6" s="1"/>
  <c r="Y52" i="6" s="1"/>
  <c r="AA52" i="6" s="1"/>
  <c r="AC52" i="6" s="1"/>
  <c r="O53" i="6"/>
  <c r="Q53" i="6" s="1"/>
  <c r="S53" i="6" s="1"/>
  <c r="U53" i="6" s="1"/>
  <c r="W53" i="6" s="1"/>
  <c r="Y53" i="6" s="1"/>
  <c r="AA53" i="6" s="1"/>
  <c r="AC53" i="6" s="1"/>
  <c r="M34" i="6"/>
  <c r="O34" i="6" s="1"/>
  <c r="Q34" i="6" s="1"/>
  <c r="S34" i="6" s="1"/>
  <c r="U34" i="6" s="1"/>
  <c r="W34" i="6" s="1"/>
  <c r="Y34" i="6" s="1"/>
  <c r="AA34" i="6" s="1"/>
  <c r="AC34" i="6" s="1"/>
  <c r="M35" i="6"/>
  <c r="O35" i="6" s="1"/>
  <c r="Q35" i="6" s="1"/>
  <c r="S35" i="6" s="1"/>
  <c r="U35" i="6" s="1"/>
  <c r="W35" i="6" s="1"/>
  <c r="Y35" i="6" s="1"/>
  <c r="AA35" i="6" s="1"/>
  <c r="AC35" i="6" s="1"/>
  <c r="M37" i="6"/>
  <c r="O37" i="6" s="1"/>
  <c r="Q37" i="6" s="1"/>
  <c r="S37" i="6" s="1"/>
  <c r="U37" i="6" s="1"/>
  <c r="W37" i="6" s="1"/>
  <c r="Y37" i="6" s="1"/>
  <c r="AA37" i="6" s="1"/>
  <c r="AC37" i="6" s="1"/>
  <c r="M38" i="6"/>
  <c r="O38" i="6" s="1"/>
  <c r="Q38" i="6" s="1"/>
  <c r="S38" i="6" s="1"/>
  <c r="U38" i="6" s="1"/>
  <c r="W38" i="6" s="1"/>
  <c r="Y38" i="6" s="1"/>
  <c r="AA38" i="6" s="1"/>
  <c r="AC38" i="6" s="1"/>
  <c r="M40" i="6"/>
  <c r="O40" i="6" s="1"/>
  <c r="Q40" i="6" s="1"/>
  <c r="S40" i="6" s="1"/>
  <c r="U40" i="6" s="1"/>
  <c r="W40" i="6" s="1"/>
  <c r="Y40" i="6" s="1"/>
  <c r="AA40" i="6" s="1"/>
  <c r="AC40" i="6" s="1"/>
  <c r="M41" i="6"/>
  <c r="O41" i="6" s="1"/>
  <c r="S41" i="6" s="1"/>
  <c r="U41" i="6" s="1"/>
  <c r="W41" i="6" s="1"/>
  <c r="Y41" i="6" s="1"/>
  <c r="AA41" i="6" s="1"/>
  <c r="AC41" i="6" s="1"/>
  <c r="M43" i="6"/>
  <c r="O43" i="6" s="1"/>
  <c r="Q43" i="6" s="1"/>
  <c r="S43" i="6" s="1"/>
  <c r="U43" i="6" s="1"/>
  <c r="W43" i="6" s="1"/>
  <c r="Y43" i="6" s="1"/>
  <c r="AA43" i="6" s="1"/>
  <c r="AC43" i="6" s="1"/>
  <c r="M44" i="6"/>
  <c r="O44" i="6" s="1"/>
  <c r="Q44" i="6" s="1"/>
  <c r="S44" i="6" s="1"/>
  <c r="U44" i="6" s="1"/>
  <c r="W44" i="6" s="1"/>
  <c r="Y44" i="6" s="1"/>
  <c r="AA44" i="6" s="1"/>
  <c r="AC44" i="6" s="1"/>
  <c r="I31" i="6"/>
  <c r="K31" i="6" s="1"/>
  <c r="M31" i="6" s="1"/>
  <c r="O31" i="6" s="1"/>
  <c r="Q31" i="6" s="1"/>
  <c r="S31" i="6" s="1"/>
  <c r="U31" i="6" s="1"/>
  <c r="W31" i="6" s="1"/>
  <c r="Y31" i="6" s="1"/>
  <c r="AA31" i="6" s="1"/>
  <c r="AC31" i="6" s="1"/>
  <c r="I32" i="6"/>
  <c r="K32" i="6" s="1"/>
  <c r="M32" i="6" s="1"/>
  <c r="O32" i="6" s="1"/>
  <c r="Q32" i="6" s="1"/>
  <c r="S32" i="6" s="1"/>
  <c r="U32" i="6" s="1"/>
  <c r="W32" i="6" s="1"/>
  <c r="Y32" i="6" s="1"/>
  <c r="AA32" i="6" s="1"/>
  <c r="AC32" i="6" s="1"/>
  <c r="I17" i="6"/>
  <c r="K17" i="6" s="1"/>
  <c r="M17" i="6" s="1"/>
  <c r="O17" i="6" s="1"/>
  <c r="Q17" i="6" s="1"/>
  <c r="S17" i="6" s="1"/>
  <c r="U17" i="6" s="1"/>
  <c r="W17" i="6" s="1"/>
  <c r="Y17" i="6" s="1"/>
  <c r="AA17" i="6" s="1"/>
  <c r="AC17" i="6" s="1"/>
  <c r="I14" i="6"/>
  <c r="K14" i="6" s="1"/>
  <c r="M14" i="6" s="1"/>
  <c r="O14" i="6" s="1"/>
  <c r="Q14" i="6" s="1"/>
  <c r="S14" i="6" s="1"/>
  <c r="U14" i="6" s="1"/>
  <c r="W14" i="6" s="1"/>
  <c r="Y14" i="6" s="1"/>
  <c r="AA14" i="6" s="1"/>
  <c r="Y13" i="7" l="1"/>
  <c r="AA13" i="7" s="1"/>
  <c r="AC13" i="7" s="1"/>
  <c r="AE13" i="7" s="1"/>
  <c r="B15" i="9"/>
  <c r="Y85" i="7"/>
  <c r="AA85" i="7" s="1"/>
  <c r="AC85" i="7" s="1"/>
  <c r="AE85" i="7" s="1"/>
  <c r="B6" i="9"/>
  <c r="Y86" i="7"/>
  <c r="AA86" i="7" s="1"/>
  <c r="AC86" i="7" s="1"/>
  <c r="AE86" i="7" s="1"/>
  <c r="Y89" i="7"/>
  <c r="AA89" i="7" s="1"/>
  <c r="AC89" i="7" s="1"/>
  <c r="AE89" i="7" s="1"/>
  <c r="W90" i="7"/>
  <c r="Y92" i="7"/>
  <c r="AA92" i="7" s="1"/>
  <c r="AC92" i="7" s="1"/>
  <c r="AE92" i="7" s="1"/>
  <c r="Y93" i="7"/>
  <c r="AA93" i="7" s="1"/>
  <c r="AC93" i="7" s="1"/>
  <c r="AE93" i="7" s="1"/>
  <c r="Y95" i="7"/>
  <c r="AA95" i="7" s="1"/>
  <c r="AC95" i="7" s="1"/>
  <c r="AE95" i="7" s="1"/>
  <c r="Y96" i="7"/>
  <c r="AA96" i="7" s="1"/>
  <c r="AC96" i="7" s="1"/>
  <c r="AE96" i="7" s="1"/>
  <c r="Y98" i="7"/>
  <c r="AA98" i="7" s="1"/>
  <c r="AC98" i="7" s="1"/>
  <c r="AE98" i="7" s="1"/>
  <c r="Y99" i="7"/>
  <c r="AA99" i="7" s="1"/>
  <c r="AC99" i="7" s="1"/>
  <c r="AE99" i="7" s="1"/>
  <c r="Y11" i="6"/>
  <c r="AA11" i="6" s="1"/>
  <c r="AC11" i="6" s="1"/>
  <c r="AC14" i="6"/>
  <c r="AC8" i="6"/>
  <c r="I26" i="6"/>
  <c r="K26" i="6" s="1"/>
  <c r="M26" i="6" s="1"/>
  <c r="O26" i="6" s="1"/>
  <c r="Q26" i="6" s="1"/>
  <c r="S26" i="6" s="1"/>
  <c r="U26" i="6" s="1"/>
  <c r="W26" i="6" s="1"/>
  <c r="Y26" i="6" s="1"/>
  <c r="AA26" i="6" s="1"/>
  <c r="AC26" i="6" s="1"/>
  <c r="I25" i="6"/>
  <c r="K25" i="6" s="1"/>
  <c r="M25" i="6" s="1"/>
  <c r="O25" i="6" s="1"/>
  <c r="Q25" i="6" s="1"/>
  <c r="S25" i="6" s="1"/>
  <c r="U25" i="6" s="1"/>
  <c r="W25" i="6" s="1"/>
  <c r="Y25" i="6" s="1"/>
  <c r="AA25" i="6" s="1"/>
  <c r="AC25" i="6" s="1"/>
  <c r="I16" i="6"/>
  <c r="K16" i="6" s="1"/>
  <c r="M16" i="6" s="1"/>
  <c r="O16" i="6" s="1"/>
  <c r="Q16" i="6" s="1"/>
  <c r="S16" i="6" s="1"/>
  <c r="U16" i="6" s="1"/>
  <c r="W16" i="6" s="1"/>
  <c r="Y16" i="6" s="1"/>
  <c r="AA16" i="6" s="1"/>
  <c r="AC16" i="6" s="1"/>
  <c r="I23" i="6"/>
  <c r="K23" i="6" s="1"/>
  <c r="M23" i="6" s="1"/>
  <c r="O23" i="6" s="1"/>
  <c r="Q23" i="6" s="1"/>
  <c r="S23" i="6" s="1"/>
  <c r="U23" i="6" s="1"/>
  <c r="W23" i="6" s="1"/>
  <c r="Y23" i="6" s="1"/>
  <c r="AA23" i="6" s="1"/>
  <c r="AC23" i="6" s="1"/>
  <c r="I22" i="6"/>
  <c r="K22" i="6" s="1"/>
  <c r="M22" i="6" s="1"/>
  <c r="O22" i="6" s="1"/>
  <c r="Q22" i="6" s="1"/>
  <c r="S22" i="6" s="1"/>
  <c r="U22" i="6" s="1"/>
  <c r="W22" i="6" s="1"/>
  <c r="Y22" i="6" s="1"/>
  <c r="AA22" i="6" s="1"/>
  <c r="AC22" i="6" s="1"/>
  <c r="K5" i="6"/>
  <c r="M5" i="6" s="1"/>
  <c r="O5" i="6" s="1"/>
  <c r="Q5" i="6" s="1"/>
  <c r="S5" i="6" s="1"/>
  <c r="U5" i="6" s="1"/>
  <c r="W5" i="6" s="1"/>
  <c r="Y5" i="6" s="1"/>
  <c r="AA5" i="6" s="1"/>
  <c r="AC5" i="6" s="1"/>
  <c r="C6" i="9" l="1"/>
  <c r="Y90" i="7"/>
  <c r="AA90" i="7" s="1"/>
  <c r="AC90" i="7" s="1"/>
  <c r="AE90" i="7" s="1"/>
  <c r="G88" i="6"/>
  <c r="AE87" i="6"/>
  <c r="D83" i="7" s="1"/>
  <c r="G83" i="7" s="1"/>
  <c r="I83" i="7" s="1"/>
  <c r="K83" i="7" s="1"/>
  <c r="M83" i="7" s="1"/>
  <c r="O83" i="7" s="1"/>
  <c r="Q83" i="7" s="1"/>
  <c r="S83" i="7" s="1"/>
  <c r="U83" i="7" s="1"/>
  <c r="W83" i="7" s="1"/>
  <c r="AE86" i="6"/>
  <c r="D82" i="7" s="1"/>
  <c r="G82" i="7" s="1"/>
  <c r="I82" i="7" s="1"/>
  <c r="K82" i="7" s="1"/>
  <c r="M82" i="7" s="1"/>
  <c r="O82" i="7" s="1"/>
  <c r="Q82" i="7" s="1"/>
  <c r="S82" i="7" s="1"/>
  <c r="U82" i="7" s="1"/>
  <c r="W82" i="7" s="1"/>
  <c r="AE84" i="6"/>
  <c r="D80" i="7" s="1"/>
  <c r="G80" i="7" s="1"/>
  <c r="I80" i="7" s="1"/>
  <c r="K80" i="7" s="1"/>
  <c r="M80" i="7" s="1"/>
  <c r="O80" i="7" s="1"/>
  <c r="Q80" i="7" s="1"/>
  <c r="S80" i="7" s="1"/>
  <c r="U80" i="7" s="1"/>
  <c r="W80" i="7" s="1"/>
  <c r="AE83" i="6"/>
  <c r="D79" i="7" s="1"/>
  <c r="G79" i="7" s="1"/>
  <c r="I79" i="7" s="1"/>
  <c r="K79" i="7" s="1"/>
  <c r="M79" i="7" s="1"/>
  <c r="O79" i="7" s="1"/>
  <c r="Q79" i="7" s="1"/>
  <c r="S79" i="7" s="1"/>
  <c r="U79" i="7" s="1"/>
  <c r="W79" i="7" s="1"/>
  <c r="AE81" i="6"/>
  <c r="D77" i="7" s="1"/>
  <c r="G77" i="7" s="1"/>
  <c r="I77" i="7" s="1"/>
  <c r="K77" i="7" s="1"/>
  <c r="M77" i="7" s="1"/>
  <c r="O77" i="7" s="1"/>
  <c r="Q77" i="7" s="1"/>
  <c r="S77" i="7" s="1"/>
  <c r="U77" i="7" s="1"/>
  <c r="W77" i="7" s="1"/>
  <c r="AE80" i="6"/>
  <c r="D76" i="7" s="1"/>
  <c r="G76" i="7" s="1"/>
  <c r="I76" i="7" s="1"/>
  <c r="K76" i="7" s="1"/>
  <c r="M76" i="7" s="1"/>
  <c r="O76" i="7" s="1"/>
  <c r="Q76" i="7" s="1"/>
  <c r="S76" i="7" s="1"/>
  <c r="U76" i="7" s="1"/>
  <c r="W76" i="7" s="1"/>
  <c r="AE78" i="6"/>
  <c r="D74" i="7" s="1"/>
  <c r="G74" i="7" s="1"/>
  <c r="I74" i="7" s="1"/>
  <c r="K74" i="7" s="1"/>
  <c r="M74" i="7" s="1"/>
  <c r="O74" i="7" s="1"/>
  <c r="Q74" i="7" s="1"/>
  <c r="S74" i="7" s="1"/>
  <c r="U74" i="7" s="1"/>
  <c r="W74" i="7" s="1"/>
  <c r="AE77" i="6"/>
  <c r="D73" i="7" s="1"/>
  <c r="G73" i="7" s="1"/>
  <c r="I73" i="7" s="1"/>
  <c r="K73" i="7" s="1"/>
  <c r="M73" i="7" s="1"/>
  <c r="O73" i="7" s="1"/>
  <c r="Q73" i="7" s="1"/>
  <c r="S73" i="7" s="1"/>
  <c r="U73" i="7" s="1"/>
  <c r="W73" i="7" s="1"/>
  <c r="AE75" i="6"/>
  <c r="D71" i="7" s="1"/>
  <c r="G71" i="7" s="1"/>
  <c r="I71" i="7" s="1"/>
  <c r="K71" i="7" s="1"/>
  <c r="M71" i="7" s="1"/>
  <c r="O71" i="7" s="1"/>
  <c r="Q71" i="7" s="1"/>
  <c r="S71" i="7" s="1"/>
  <c r="U71" i="7" s="1"/>
  <c r="W71" i="7" s="1"/>
  <c r="AE74" i="6"/>
  <c r="D70" i="7" s="1"/>
  <c r="G70" i="7" s="1"/>
  <c r="I70" i="7" s="1"/>
  <c r="K70" i="7" s="1"/>
  <c r="M70" i="7" s="1"/>
  <c r="O70" i="7" s="1"/>
  <c r="Q70" i="7" s="1"/>
  <c r="S70" i="7" s="1"/>
  <c r="U70" i="7" s="1"/>
  <c r="W70" i="7" s="1"/>
  <c r="AE72" i="6"/>
  <c r="D68" i="7" s="1"/>
  <c r="G68" i="7" s="1"/>
  <c r="I68" i="7" s="1"/>
  <c r="K68" i="7" s="1"/>
  <c r="M68" i="7" s="1"/>
  <c r="O68" i="7" s="1"/>
  <c r="Q68" i="7" s="1"/>
  <c r="S68" i="7" s="1"/>
  <c r="U68" i="7" s="1"/>
  <c r="W68" i="7" s="1"/>
  <c r="AE71" i="6"/>
  <c r="D67" i="7" s="1"/>
  <c r="G67" i="7" s="1"/>
  <c r="I67" i="7" s="1"/>
  <c r="K67" i="7" s="1"/>
  <c r="M67" i="7" s="1"/>
  <c r="O67" i="7" s="1"/>
  <c r="Q67" i="7" s="1"/>
  <c r="S67" i="7" s="1"/>
  <c r="U67" i="7" s="1"/>
  <c r="W67" i="7" s="1"/>
  <c r="AE69" i="6"/>
  <c r="D65" i="7" s="1"/>
  <c r="G65" i="7" s="1"/>
  <c r="I65" i="7" s="1"/>
  <c r="K65" i="7" s="1"/>
  <c r="M65" i="7" s="1"/>
  <c r="O65" i="7" s="1"/>
  <c r="Q65" i="7" s="1"/>
  <c r="S65" i="7" s="1"/>
  <c r="U65" i="7" s="1"/>
  <c r="W65" i="7" s="1"/>
  <c r="AE68" i="6"/>
  <c r="D64" i="7" s="1"/>
  <c r="G64" i="7" s="1"/>
  <c r="I64" i="7" s="1"/>
  <c r="K64" i="7" s="1"/>
  <c r="M64" i="7" s="1"/>
  <c r="O64" i="7" s="1"/>
  <c r="Q64" i="7" s="1"/>
  <c r="S64" i="7" s="1"/>
  <c r="U64" i="7" s="1"/>
  <c r="W64" i="7" s="1"/>
  <c r="AE66" i="6"/>
  <c r="AE65" i="6"/>
  <c r="AE63" i="6"/>
  <c r="D62" i="7" s="1"/>
  <c r="G62" i="7" s="1"/>
  <c r="I62" i="7" s="1"/>
  <c r="K62" i="7" s="1"/>
  <c r="M62" i="7" s="1"/>
  <c r="O62" i="7" s="1"/>
  <c r="Q62" i="7" s="1"/>
  <c r="S62" i="7" s="1"/>
  <c r="U62" i="7" s="1"/>
  <c r="W62" i="7" s="1"/>
  <c r="AE62" i="6"/>
  <c r="D61" i="7" s="1"/>
  <c r="G61" i="7" s="1"/>
  <c r="I61" i="7" s="1"/>
  <c r="K61" i="7" s="1"/>
  <c r="M61" i="7" s="1"/>
  <c r="O61" i="7" s="1"/>
  <c r="Q61" i="7" s="1"/>
  <c r="S61" i="7" s="1"/>
  <c r="U61" i="7" s="1"/>
  <c r="W61" i="7" s="1"/>
  <c r="AE60" i="6"/>
  <c r="D59" i="7" s="1"/>
  <c r="G59" i="7" s="1"/>
  <c r="I59" i="7" s="1"/>
  <c r="K59" i="7" s="1"/>
  <c r="M59" i="7" s="1"/>
  <c r="O59" i="7" s="1"/>
  <c r="Q59" i="7" s="1"/>
  <c r="S59" i="7" s="1"/>
  <c r="U59" i="7" s="1"/>
  <c r="W59" i="7" s="1"/>
  <c r="AE59" i="6"/>
  <c r="D58" i="7" s="1"/>
  <c r="G58" i="7" s="1"/>
  <c r="I58" i="7" s="1"/>
  <c r="K58" i="7" s="1"/>
  <c r="M58" i="7" s="1"/>
  <c r="O58" i="7" s="1"/>
  <c r="Q58" i="7" s="1"/>
  <c r="S58" i="7" s="1"/>
  <c r="U58" i="7" s="1"/>
  <c r="W58" i="7" s="1"/>
  <c r="AE57" i="6"/>
  <c r="D56" i="7" s="1"/>
  <c r="G56" i="7" s="1"/>
  <c r="I56" i="7" s="1"/>
  <c r="K56" i="7" s="1"/>
  <c r="M56" i="7" s="1"/>
  <c r="O56" i="7" s="1"/>
  <c r="Q56" i="7" s="1"/>
  <c r="S56" i="7" s="1"/>
  <c r="U56" i="7" s="1"/>
  <c r="W56" i="7" s="1"/>
  <c r="AE56" i="6"/>
  <c r="D55" i="7" s="1"/>
  <c r="G55" i="7" s="1"/>
  <c r="I55" i="7" s="1"/>
  <c r="K55" i="7" s="1"/>
  <c r="M55" i="7" s="1"/>
  <c r="AE53" i="6"/>
  <c r="D53" i="7" s="1"/>
  <c r="G53" i="7" s="1"/>
  <c r="I53" i="7" s="1"/>
  <c r="K53" i="7" s="1"/>
  <c r="M53" i="7" s="1"/>
  <c r="O53" i="7" s="1"/>
  <c r="Q53" i="7" s="1"/>
  <c r="S53" i="7" s="1"/>
  <c r="U53" i="7" s="1"/>
  <c r="W53" i="7" s="1"/>
  <c r="AE52" i="6"/>
  <c r="D52" i="7" s="1"/>
  <c r="G52" i="7" s="1"/>
  <c r="I52" i="7" s="1"/>
  <c r="K52" i="7" s="1"/>
  <c r="M52" i="7" s="1"/>
  <c r="O52" i="7" s="1"/>
  <c r="Q52" i="7" s="1"/>
  <c r="S52" i="7" s="1"/>
  <c r="U52" i="7" s="1"/>
  <c r="W52" i="7" s="1"/>
  <c r="AE50" i="6"/>
  <c r="D50" i="7" s="1"/>
  <c r="G50" i="7" s="1"/>
  <c r="I50" i="7" s="1"/>
  <c r="K50" i="7" s="1"/>
  <c r="M50" i="7" s="1"/>
  <c r="O50" i="7" s="1"/>
  <c r="Q50" i="7" s="1"/>
  <c r="S50" i="7" s="1"/>
  <c r="U50" i="7" s="1"/>
  <c r="W50" i="7" s="1"/>
  <c r="AE49" i="6"/>
  <c r="D49" i="7" s="1"/>
  <c r="G49" i="7" s="1"/>
  <c r="I49" i="7" s="1"/>
  <c r="K49" i="7" s="1"/>
  <c r="M49" i="7" s="1"/>
  <c r="O49" i="7" s="1"/>
  <c r="Q49" i="7" s="1"/>
  <c r="S49" i="7" s="1"/>
  <c r="U49" i="7" s="1"/>
  <c r="W49" i="7" s="1"/>
  <c r="AE47" i="6"/>
  <c r="D47" i="7" s="1"/>
  <c r="G47" i="7" s="1"/>
  <c r="I47" i="7" s="1"/>
  <c r="K47" i="7" s="1"/>
  <c r="M47" i="7" s="1"/>
  <c r="O47" i="7" s="1"/>
  <c r="Q47" i="7" s="1"/>
  <c r="S47" i="7" s="1"/>
  <c r="U47" i="7" s="1"/>
  <c r="W47" i="7" s="1"/>
  <c r="AE32" i="6"/>
  <c r="D33" i="7" s="1"/>
  <c r="G33" i="7" s="1"/>
  <c r="I33" i="7" s="1"/>
  <c r="K33" i="7" s="1"/>
  <c r="M33" i="7" s="1"/>
  <c r="O33" i="7" s="1"/>
  <c r="Q33" i="7" s="1"/>
  <c r="S33" i="7" s="1"/>
  <c r="U33" i="7" s="1"/>
  <c r="W33" i="7" s="1"/>
  <c r="AE31" i="6"/>
  <c r="D32" i="7" s="1"/>
  <c r="G32" i="7" s="1"/>
  <c r="I32" i="7" s="1"/>
  <c r="K32" i="7" s="1"/>
  <c r="M32" i="7" s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13" i="1"/>
  <c r="F12" i="1"/>
  <c r="F7" i="1"/>
  <c r="F8" i="1"/>
  <c r="F9" i="1"/>
  <c r="F10" i="1"/>
  <c r="F11" i="1"/>
  <c r="F6" i="1"/>
  <c r="F4" i="1"/>
  <c r="F5" i="1"/>
  <c r="F3" i="1"/>
  <c r="F31" i="1"/>
  <c r="Y33" i="7" l="1"/>
  <c r="AA33" i="7" s="1"/>
  <c r="AC33" i="7" s="1"/>
  <c r="AE33" i="7" s="1"/>
  <c r="C31" i="8"/>
  <c r="Y47" i="7"/>
  <c r="AA47" i="7" s="1"/>
  <c r="AC47" i="7" s="1"/>
  <c r="AE47" i="7" s="1"/>
  <c r="C2" i="8"/>
  <c r="C2" i="11" s="1"/>
  <c r="C2" i="12" s="1"/>
  <c r="Y49" i="7"/>
  <c r="AA49" i="7" s="1"/>
  <c r="AC49" i="7" s="1"/>
  <c r="AE49" i="7" s="1"/>
  <c r="B22" i="9"/>
  <c r="Y50" i="7"/>
  <c r="AA50" i="7" s="1"/>
  <c r="AC50" i="7" s="1"/>
  <c r="AE50" i="7" s="1"/>
  <c r="C24" i="8"/>
  <c r="C27" i="11" s="1"/>
  <c r="C28" i="12" s="1"/>
  <c r="Y52" i="7"/>
  <c r="AA52" i="7" s="1"/>
  <c r="AC52" i="7" s="1"/>
  <c r="AE52" i="7" s="1"/>
  <c r="B3" i="9"/>
  <c r="Y53" i="7"/>
  <c r="AA53" i="7" s="1"/>
  <c r="AC53" i="7" s="1"/>
  <c r="AE53" i="7" s="1"/>
  <c r="C3" i="8"/>
  <c r="C3" i="11" s="1"/>
  <c r="C3" i="12" s="1"/>
  <c r="Y56" i="7"/>
  <c r="AA56" i="7" s="1"/>
  <c r="AC56" i="7" s="1"/>
  <c r="AE56" i="7" s="1"/>
  <c r="C22" i="8"/>
  <c r="C25" i="11" s="1"/>
  <c r="C26" i="12" s="1"/>
  <c r="Y58" i="7"/>
  <c r="AA58" i="7" s="1"/>
  <c r="AC58" i="7" s="1"/>
  <c r="AE58" i="7" s="1"/>
  <c r="B7" i="9"/>
  <c r="Y59" i="7"/>
  <c r="AA59" i="7" s="1"/>
  <c r="AC59" i="7" s="1"/>
  <c r="AE59" i="7" s="1"/>
  <c r="C9" i="8"/>
  <c r="Y61" i="7"/>
  <c r="AA61" i="7" s="1"/>
  <c r="AC61" i="7" s="1"/>
  <c r="AE61" i="7" s="1"/>
  <c r="B23" i="9"/>
  <c r="Y62" i="7"/>
  <c r="AA62" i="7" s="1"/>
  <c r="AC62" i="7" s="1"/>
  <c r="AE62" i="7" s="1"/>
  <c r="C25" i="8"/>
  <c r="C28" i="11" s="1"/>
  <c r="C29" i="12" s="1"/>
  <c r="Y64" i="7"/>
  <c r="AA64" i="7" s="1"/>
  <c r="AC64" i="7" s="1"/>
  <c r="AE64" i="7" s="1"/>
  <c r="B13" i="9"/>
  <c r="Y65" i="7"/>
  <c r="AA65" i="7" s="1"/>
  <c r="AC65" i="7" s="1"/>
  <c r="AE65" i="7" s="1"/>
  <c r="C15" i="8"/>
  <c r="C16" i="11" s="1"/>
  <c r="C17" i="12" s="1"/>
  <c r="Y67" i="7"/>
  <c r="AA67" i="7" s="1"/>
  <c r="AC67" i="7" s="1"/>
  <c r="AE67" i="7" s="1"/>
  <c r="Y68" i="7"/>
  <c r="AA68" i="7" s="1"/>
  <c r="AC68" i="7" s="1"/>
  <c r="AE68" i="7" s="1"/>
  <c r="Y70" i="7"/>
  <c r="AA70" i="7" s="1"/>
  <c r="AC70" i="7" s="1"/>
  <c r="AE70" i="7" s="1"/>
  <c r="B21" i="9"/>
  <c r="Y71" i="7"/>
  <c r="AA71" i="7" s="1"/>
  <c r="AC71" i="7" s="1"/>
  <c r="AE71" i="7" s="1"/>
  <c r="C23" i="8"/>
  <c r="C26" i="11" s="1"/>
  <c r="C27" i="12" s="1"/>
  <c r="Y73" i="7"/>
  <c r="AA73" i="7" s="1"/>
  <c r="AC73" i="7" s="1"/>
  <c r="AE73" i="7" s="1"/>
  <c r="Y74" i="7"/>
  <c r="AA74" i="7" s="1"/>
  <c r="AC74" i="7" s="1"/>
  <c r="AE74" i="7" s="1"/>
  <c r="C18" i="8"/>
  <c r="C19" i="11" s="1"/>
  <c r="C20" i="12" s="1"/>
  <c r="Y76" i="7"/>
  <c r="AA76" i="7" s="1"/>
  <c r="AC76" i="7" s="1"/>
  <c r="AE76" i="7" s="1"/>
  <c r="Y77" i="7"/>
  <c r="AA77" i="7" s="1"/>
  <c r="AC77" i="7" s="1"/>
  <c r="AE77" i="7" s="1"/>
  <c r="C8" i="8"/>
  <c r="Y79" i="7"/>
  <c r="AA79" i="7" s="1"/>
  <c r="AC79" i="7" s="1"/>
  <c r="AE79" i="7" s="1"/>
  <c r="B11" i="9"/>
  <c r="Y80" i="7"/>
  <c r="AA80" i="7" s="1"/>
  <c r="AC80" i="7" s="1"/>
  <c r="AE80" i="7" s="1"/>
  <c r="Y82" i="7"/>
  <c r="AA82" i="7" s="1"/>
  <c r="AC82" i="7" s="1"/>
  <c r="AE82" i="7" s="1"/>
  <c r="B25" i="9"/>
  <c r="Y83" i="7"/>
  <c r="AA83" i="7" s="1"/>
  <c r="AC83" i="7" s="1"/>
  <c r="AE83" i="7" s="1"/>
  <c r="O32" i="7"/>
  <c r="Q32" i="7" s="1"/>
  <c r="S32" i="7" s="1"/>
  <c r="U32" i="7" s="1"/>
  <c r="W32" i="7" s="1"/>
  <c r="O55" i="7"/>
  <c r="Q55" i="7" s="1"/>
  <c r="S55" i="7" s="1"/>
  <c r="U55" i="7" s="1"/>
  <c r="W55" i="7" s="1"/>
  <c r="AE11" i="6"/>
  <c r="D11" i="7" s="1"/>
  <c r="G11" i="7" s="1"/>
  <c r="I11" i="7" s="1"/>
  <c r="K11" i="7" s="1"/>
  <c r="M11" i="7" s="1"/>
  <c r="O11" i="7" s="1"/>
  <c r="Q11" i="7" s="1"/>
  <c r="S11" i="7" s="1"/>
  <c r="U11" i="7" s="1"/>
  <c r="W11" i="7" s="1"/>
  <c r="AE10" i="6"/>
  <c r="D10" i="7" s="1"/>
  <c r="G10" i="7" s="1"/>
  <c r="I10" i="7" s="1"/>
  <c r="K10" i="7" s="1"/>
  <c r="M10" i="7" s="1"/>
  <c r="O10" i="7" s="1"/>
  <c r="Q10" i="7" s="1"/>
  <c r="S10" i="7" s="1"/>
  <c r="U10" i="7" s="1"/>
  <c r="W10" i="7" s="1"/>
  <c r="AE46" i="6"/>
  <c r="D46" i="7" s="1"/>
  <c r="G46" i="7" s="1"/>
  <c r="I46" i="7" s="1"/>
  <c r="K46" i="7" s="1"/>
  <c r="M46" i="7" s="1"/>
  <c r="O46" i="7" s="1"/>
  <c r="Q46" i="7" s="1"/>
  <c r="S46" i="7" s="1"/>
  <c r="U46" i="7" s="1"/>
  <c r="W46" i="7" s="1"/>
  <c r="AE4" i="6"/>
  <c r="AE7" i="6"/>
  <c r="D7" i="7" s="1"/>
  <c r="AE8" i="6"/>
  <c r="D8" i="7" s="1"/>
  <c r="G8" i="7" s="1"/>
  <c r="I8" i="7" s="1"/>
  <c r="K8" i="7" s="1"/>
  <c r="M8" i="7" s="1"/>
  <c r="O8" i="7" s="1"/>
  <c r="Q8" i="7" s="1"/>
  <c r="S8" i="7" s="1"/>
  <c r="U8" i="7" s="1"/>
  <c r="W8" i="7" s="1"/>
  <c r="AE14" i="6"/>
  <c r="D14" i="7" s="1"/>
  <c r="G14" i="7" s="1"/>
  <c r="I14" i="7" s="1"/>
  <c r="K14" i="7" s="1"/>
  <c r="M14" i="7" s="1"/>
  <c r="O14" i="7" s="1"/>
  <c r="Q14" i="7" s="1"/>
  <c r="S14" i="7" s="1"/>
  <c r="U14" i="7" s="1"/>
  <c r="W14" i="7" s="1"/>
  <c r="AE16" i="6"/>
  <c r="D16" i="7" s="1"/>
  <c r="G16" i="7" s="1"/>
  <c r="I16" i="7" s="1"/>
  <c r="K16" i="7" s="1"/>
  <c r="M16" i="7" s="1"/>
  <c r="O16" i="7" s="1"/>
  <c r="Q16" i="7" s="1"/>
  <c r="S16" i="7" s="1"/>
  <c r="U16" i="7" s="1"/>
  <c r="W16" i="7" s="1"/>
  <c r="AE17" i="6"/>
  <c r="D17" i="7" s="1"/>
  <c r="G17" i="7" s="1"/>
  <c r="I17" i="7" s="1"/>
  <c r="K17" i="7" s="1"/>
  <c r="M17" i="7" s="1"/>
  <c r="O17" i="7" s="1"/>
  <c r="Q17" i="7" s="1"/>
  <c r="S17" i="7" s="1"/>
  <c r="U17" i="7" s="1"/>
  <c r="W17" i="7" s="1"/>
  <c r="AE19" i="6"/>
  <c r="D19" i="7" s="1"/>
  <c r="G19" i="7" s="1"/>
  <c r="I19" i="7" s="1"/>
  <c r="K19" i="7" s="1"/>
  <c r="M19" i="7" s="1"/>
  <c r="AE20" i="6"/>
  <c r="D20" i="7" s="1"/>
  <c r="G20" i="7" s="1"/>
  <c r="I20" i="7" s="1"/>
  <c r="K20" i="7" s="1"/>
  <c r="M20" i="7" s="1"/>
  <c r="O20" i="7" s="1"/>
  <c r="Q20" i="7" s="1"/>
  <c r="S20" i="7" s="1"/>
  <c r="U20" i="7" s="1"/>
  <c r="W20" i="7" s="1"/>
  <c r="AE22" i="6"/>
  <c r="D22" i="7" s="1"/>
  <c r="G22" i="7" s="1"/>
  <c r="I22" i="7" s="1"/>
  <c r="K22" i="7" s="1"/>
  <c r="M22" i="7" s="1"/>
  <c r="O22" i="7" s="1"/>
  <c r="Q22" i="7" s="1"/>
  <c r="S22" i="7" s="1"/>
  <c r="U22" i="7" s="1"/>
  <c r="W22" i="7" s="1"/>
  <c r="AE23" i="6"/>
  <c r="D23" i="7" s="1"/>
  <c r="G23" i="7" s="1"/>
  <c r="I23" i="7" s="1"/>
  <c r="K23" i="7" s="1"/>
  <c r="M23" i="7" s="1"/>
  <c r="O23" i="7" s="1"/>
  <c r="Q23" i="7" s="1"/>
  <c r="S23" i="7" s="1"/>
  <c r="U23" i="7" s="1"/>
  <c r="W23" i="7" s="1"/>
  <c r="AE25" i="6"/>
  <c r="D25" i="7" s="1"/>
  <c r="G25" i="7" s="1"/>
  <c r="I25" i="7" s="1"/>
  <c r="K25" i="7" s="1"/>
  <c r="M25" i="7" s="1"/>
  <c r="O25" i="7" s="1"/>
  <c r="Q25" i="7" s="1"/>
  <c r="S25" i="7" s="1"/>
  <c r="U25" i="7" s="1"/>
  <c r="W25" i="7" s="1"/>
  <c r="AE26" i="6"/>
  <c r="D26" i="7" s="1"/>
  <c r="G26" i="7" s="1"/>
  <c r="I26" i="7" s="1"/>
  <c r="K26" i="7" s="1"/>
  <c r="M26" i="7" s="1"/>
  <c r="O26" i="7" s="1"/>
  <c r="Q26" i="7" s="1"/>
  <c r="S26" i="7" s="1"/>
  <c r="U26" i="7" s="1"/>
  <c r="W26" i="7" s="1"/>
  <c r="AE28" i="6"/>
  <c r="D29" i="7" s="1"/>
  <c r="G29" i="7" s="1"/>
  <c r="I29" i="7" s="1"/>
  <c r="K29" i="7" s="1"/>
  <c r="M29" i="7" s="1"/>
  <c r="O29" i="7" s="1"/>
  <c r="Q29" i="7" s="1"/>
  <c r="S29" i="7" s="1"/>
  <c r="U29" i="7" s="1"/>
  <c r="W29" i="7" s="1"/>
  <c r="AE29" i="6"/>
  <c r="D30" i="7" s="1"/>
  <c r="G30" i="7" s="1"/>
  <c r="I30" i="7" s="1"/>
  <c r="K30" i="7" s="1"/>
  <c r="M30" i="7" s="1"/>
  <c r="O30" i="7" s="1"/>
  <c r="Q30" i="7" s="1"/>
  <c r="S30" i="7" s="1"/>
  <c r="U30" i="7" s="1"/>
  <c r="W30" i="7" s="1"/>
  <c r="AE34" i="6"/>
  <c r="D34" i="7" s="1"/>
  <c r="G34" i="7" s="1"/>
  <c r="I34" i="7" s="1"/>
  <c r="K34" i="7" s="1"/>
  <c r="M34" i="7" s="1"/>
  <c r="O34" i="7" s="1"/>
  <c r="Q34" i="7" s="1"/>
  <c r="S34" i="7" s="1"/>
  <c r="U34" i="7" s="1"/>
  <c r="W34" i="7" s="1"/>
  <c r="Y34" i="7" s="1"/>
  <c r="AA34" i="7" s="1"/>
  <c r="AC34" i="7" s="1"/>
  <c r="AE34" i="7" s="1"/>
  <c r="AE35" i="6"/>
  <c r="D35" i="7" s="1"/>
  <c r="G35" i="7" s="1"/>
  <c r="I35" i="7" s="1"/>
  <c r="K35" i="7" s="1"/>
  <c r="M35" i="7" s="1"/>
  <c r="O35" i="7" s="1"/>
  <c r="Q35" i="7" s="1"/>
  <c r="S35" i="7" s="1"/>
  <c r="U35" i="7" s="1"/>
  <c r="W35" i="7" s="1"/>
  <c r="Y35" i="7" s="1"/>
  <c r="AA35" i="7" s="1"/>
  <c r="AC35" i="7" s="1"/>
  <c r="AE35" i="7" s="1"/>
  <c r="AE37" i="6"/>
  <c r="D37" i="7" s="1"/>
  <c r="G37" i="7" s="1"/>
  <c r="I37" i="7" s="1"/>
  <c r="K37" i="7" s="1"/>
  <c r="M37" i="7" s="1"/>
  <c r="O37" i="7" s="1"/>
  <c r="Q37" i="7" s="1"/>
  <c r="S37" i="7" s="1"/>
  <c r="U37" i="7" s="1"/>
  <c r="W37" i="7" s="1"/>
  <c r="AE38" i="6"/>
  <c r="D38" i="7" s="1"/>
  <c r="G38" i="7" s="1"/>
  <c r="I38" i="7" s="1"/>
  <c r="K38" i="7" s="1"/>
  <c r="M38" i="7" s="1"/>
  <c r="O38" i="7" s="1"/>
  <c r="Q38" i="7" s="1"/>
  <c r="S38" i="7" s="1"/>
  <c r="U38" i="7" s="1"/>
  <c r="W38" i="7" s="1"/>
  <c r="AE40" i="6"/>
  <c r="D40" i="7" s="1"/>
  <c r="G40" i="7" s="1"/>
  <c r="I40" i="7" s="1"/>
  <c r="K40" i="7" s="1"/>
  <c r="M40" i="7" s="1"/>
  <c r="O40" i="7" s="1"/>
  <c r="Q40" i="7" s="1"/>
  <c r="S40" i="7" s="1"/>
  <c r="U40" i="7" s="1"/>
  <c r="W40" i="7" s="1"/>
  <c r="AE41" i="6"/>
  <c r="D41" i="7" s="1"/>
  <c r="G41" i="7" s="1"/>
  <c r="I41" i="7" s="1"/>
  <c r="K41" i="7" s="1"/>
  <c r="M41" i="7" s="1"/>
  <c r="O41" i="7" s="1"/>
  <c r="Q41" i="7" s="1"/>
  <c r="S41" i="7" s="1"/>
  <c r="U41" i="7" s="1"/>
  <c r="W41" i="7" s="1"/>
  <c r="AE43" i="6"/>
  <c r="D43" i="7" s="1"/>
  <c r="G43" i="7" s="1"/>
  <c r="I43" i="7" s="1"/>
  <c r="K43" i="7" s="1"/>
  <c r="M43" i="7" s="1"/>
  <c r="O43" i="7" s="1"/>
  <c r="Q43" i="7" s="1"/>
  <c r="AE44" i="6"/>
  <c r="D44" i="7" s="1"/>
  <c r="G44" i="7" s="1"/>
  <c r="I44" i="7" s="1"/>
  <c r="K44" i="7" s="1"/>
  <c r="M44" i="7" s="1"/>
  <c r="O44" i="7" s="1"/>
  <c r="Q44" i="7" s="1"/>
  <c r="C27" i="9" l="1"/>
  <c r="C35" i="11"/>
  <c r="C37" i="12" s="1"/>
  <c r="C16" i="9"/>
  <c r="C13" i="9"/>
  <c r="C23" i="9"/>
  <c r="C7" i="9"/>
  <c r="C3" i="9"/>
  <c r="C22" i="9"/>
  <c r="C2" i="9"/>
  <c r="C20" i="9"/>
  <c r="C11" i="9"/>
  <c r="C21" i="9"/>
  <c r="S44" i="7"/>
  <c r="U44" i="7" s="1"/>
  <c r="W44" i="7" s="1"/>
  <c r="S43" i="7"/>
  <c r="U43" i="7" s="1"/>
  <c r="W43" i="7" s="1"/>
  <c r="Y41" i="7"/>
  <c r="AA41" i="7" s="1"/>
  <c r="AC41" i="7" s="1"/>
  <c r="AE41" i="7" s="1"/>
  <c r="C19" i="8"/>
  <c r="C20" i="11" s="1"/>
  <c r="C21" i="12" s="1"/>
  <c r="Y40" i="7"/>
  <c r="AA40" i="7" s="1"/>
  <c r="AC40" i="7" s="1"/>
  <c r="AE40" i="7" s="1"/>
  <c r="Y38" i="7"/>
  <c r="AA38" i="7" s="1"/>
  <c r="AC38" i="7" s="1"/>
  <c r="AE38" i="7" s="1"/>
  <c r="C28" i="9"/>
  <c r="Y37" i="7"/>
  <c r="AA37" i="7" s="1"/>
  <c r="AC37" i="7" s="1"/>
  <c r="AE37" i="7" s="1"/>
  <c r="B28" i="9"/>
  <c r="Y30" i="7"/>
  <c r="AA30" i="7" s="1"/>
  <c r="AC30" i="7" s="1"/>
  <c r="AE30" i="7" s="1"/>
  <c r="C12" i="8"/>
  <c r="C13" i="11" s="1"/>
  <c r="C14" i="12" s="1"/>
  <c r="Y29" i="7"/>
  <c r="AA29" i="7" s="1"/>
  <c r="AC29" i="7" s="1"/>
  <c r="AE29" i="7" s="1"/>
  <c r="B9" i="9"/>
  <c r="Y26" i="7"/>
  <c r="AA26" i="7" s="1"/>
  <c r="AC26" i="7" s="1"/>
  <c r="AE26" i="7" s="1"/>
  <c r="C11" i="8"/>
  <c r="C11" i="11" s="1"/>
  <c r="C11" i="12" s="1"/>
  <c r="Y25" i="7"/>
  <c r="AA25" i="7" s="1"/>
  <c r="AC25" i="7" s="1"/>
  <c r="AE25" i="7" s="1"/>
  <c r="Y23" i="7"/>
  <c r="AA23" i="7" s="1"/>
  <c r="AC23" i="7" s="1"/>
  <c r="AE23" i="7" s="1"/>
  <c r="C16" i="8"/>
  <c r="C17" i="11" s="1"/>
  <c r="C18" i="12" s="1"/>
  <c r="Y22" i="7"/>
  <c r="AA22" i="7" s="1"/>
  <c r="AC22" i="7" s="1"/>
  <c r="AE22" i="7" s="1"/>
  <c r="B14" i="9"/>
  <c r="Y20" i="7"/>
  <c r="AA20" i="7" s="1"/>
  <c r="AC20" i="7" s="1"/>
  <c r="AE20" i="7" s="1"/>
  <c r="C4" i="8"/>
  <c r="C4" i="11" s="1"/>
  <c r="C4" i="12" s="1"/>
  <c r="Y17" i="7"/>
  <c r="AA17" i="7" s="1"/>
  <c r="AC17" i="7" s="1"/>
  <c r="AE17" i="7" s="1"/>
  <c r="C26" i="8"/>
  <c r="C29" i="11" s="1"/>
  <c r="C30" i="12" s="1"/>
  <c r="Y16" i="7"/>
  <c r="AA16" i="7" s="1"/>
  <c r="AC16" i="7" s="1"/>
  <c r="AE16" i="7" s="1"/>
  <c r="B24" i="9"/>
  <c r="Y14" i="7"/>
  <c r="AA14" i="7" s="1"/>
  <c r="AC14" i="7" s="1"/>
  <c r="AE14" i="7" s="1"/>
  <c r="C15" i="9"/>
  <c r="Y8" i="7"/>
  <c r="AA8" i="7" s="1"/>
  <c r="AC8" i="7" s="1"/>
  <c r="AE8" i="7" s="1"/>
  <c r="C12" i="9"/>
  <c r="G7" i="7"/>
  <c r="I7" i="7" s="1"/>
  <c r="K7" i="7" s="1"/>
  <c r="M7" i="7" s="1"/>
  <c r="O7" i="7" s="1"/>
  <c r="Q7" i="7" s="1"/>
  <c r="S7" i="7" s="1"/>
  <c r="U7" i="7" s="1"/>
  <c r="W7" i="7" s="1"/>
  <c r="D116" i="7"/>
  <c r="Y46" i="7"/>
  <c r="AA46" i="7" s="1"/>
  <c r="AC46" i="7" s="1"/>
  <c r="AE46" i="7" s="1"/>
  <c r="Y10" i="7"/>
  <c r="AA10" i="7" s="1"/>
  <c r="AC10" i="7" s="1"/>
  <c r="AE10" i="7" s="1"/>
  <c r="B18" i="9"/>
  <c r="Y11" i="7"/>
  <c r="AA11" i="7" s="1"/>
  <c r="AC11" i="7" s="1"/>
  <c r="AE11" i="7" s="1"/>
  <c r="C20" i="8"/>
  <c r="C22" i="11" s="1"/>
  <c r="C23" i="12" s="1"/>
  <c r="Y55" i="7"/>
  <c r="AA55" i="7" s="1"/>
  <c r="AC55" i="7" s="1"/>
  <c r="AE55" i="7" s="1"/>
  <c r="B20" i="9"/>
  <c r="Y32" i="7"/>
  <c r="AA32" i="7" s="1"/>
  <c r="AC32" i="7" s="1"/>
  <c r="AE32" i="7" s="1"/>
  <c r="B27" i="9"/>
  <c r="O19" i="7"/>
  <c r="Q19" i="7" s="1"/>
  <c r="S19" i="7" s="1"/>
  <c r="U19" i="7" s="1"/>
  <c r="W19" i="7" s="1"/>
  <c r="I88" i="6"/>
  <c r="K88" i="6"/>
  <c r="C24" i="9" l="1"/>
  <c r="C4" i="9"/>
  <c r="C8" i="9"/>
  <c r="C9" i="9"/>
  <c r="C14" i="9"/>
  <c r="C17" i="9"/>
  <c r="C18" i="9"/>
  <c r="Y19" i="7"/>
  <c r="AA19" i="7" s="1"/>
  <c r="AC19" i="7" s="1"/>
  <c r="AE19" i="7" s="1"/>
  <c r="B4" i="9"/>
  <c r="Y7" i="7"/>
  <c r="AA7" i="7" s="1"/>
  <c r="AC7" i="7" s="1"/>
  <c r="AE7" i="7" s="1"/>
  <c r="B12" i="9"/>
  <c r="Y43" i="7"/>
  <c r="AA43" i="7" s="1"/>
  <c r="AC43" i="7" s="1"/>
  <c r="AE43" i="7" s="1"/>
  <c r="B19" i="9"/>
  <c r="Y44" i="7"/>
  <c r="AA44" i="7" s="1"/>
  <c r="AC44" i="7" s="1"/>
  <c r="AE44" i="7" s="1"/>
  <c r="C21" i="8"/>
  <c r="C24" i="11" s="1"/>
  <c r="C25" i="12" s="1"/>
  <c r="K4" i="7"/>
  <c r="M88" i="6"/>
  <c r="C19" i="9" l="1"/>
  <c r="M4" i="7"/>
  <c r="O88" i="6"/>
  <c r="O4" i="7" l="1"/>
  <c r="Q88" i="6"/>
  <c r="Q4" i="7" l="1"/>
  <c r="S4" i="7" s="1"/>
  <c r="S88" i="6"/>
  <c r="U88" i="6" l="1"/>
  <c r="U4" i="7" l="1"/>
  <c r="W88" i="6"/>
  <c r="W4" i="7" l="1"/>
  <c r="Y88" i="6"/>
  <c r="B5" i="8" l="1"/>
  <c r="Y4" i="7"/>
  <c r="AA88" i="6"/>
  <c r="B5" i="11" l="1"/>
  <c r="B5" i="12" s="1"/>
  <c r="B5" i="9"/>
  <c r="AA4" i="7"/>
  <c r="AC4" i="7" s="1"/>
  <c r="AE5" i="6"/>
  <c r="AC88" i="6"/>
  <c r="AE88" i="6" l="1"/>
  <c r="G5" i="7" l="1"/>
  <c r="G116" i="7" s="1"/>
  <c r="AE4" i="7"/>
  <c r="I5" i="7" l="1"/>
  <c r="I116" i="7" s="1"/>
  <c r="K5" i="7" l="1"/>
  <c r="K116" i="7" s="1"/>
  <c r="M5" i="7" l="1"/>
  <c r="M116" i="7" s="1"/>
  <c r="O5" i="7" l="1"/>
  <c r="O116" i="7" l="1"/>
  <c r="Q5" i="7"/>
  <c r="Q116" i="7"/>
  <c r="S5" i="7" l="1"/>
  <c r="S116" i="7" s="1"/>
  <c r="U5" i="7" l="1"/>
  <c r="U116" i="7" s="1"/>
  <c r="W5" i="7" l="1"/>
  <c r="C5" i="8" s="1"/>
  <c r="C5" i="11" s="1"/>
  <c r="C5" i="12" s="1"/>
  <c r="C5" i="9" l="1"/>
  <c r="W116" i="7"/>
  <c r="Y5" i="7"/>
  <c r="Y116" i="7" s="1"/>
  <c r="AA5" i="7" l="1"/>
  <c r="AA116" i="7" s="1"/>
  <c r="AC5" i="7" l="1"/>
  <c r="AC116" i="7" s="1"/>
  <c r="AE5" i="7" l="1"/>
  <c r="AE116" i="7" s="1"/>
  <c r="D2" i="15"/>
  <c r="D2" i="16"/>
  <c r="D2" i="17"/>
  <c r="D2" i="19"/>
  <c r="D2" i="20"/>
  <c r="C2" i="16"/>
  <c r="C2" i="17" s="1"/>
  <c r="C2" i="19" s="1"/>
  <c r="C2" i="20" s="1"/>
  <c r="C2" i="21" s="1"/>
  <c r="C2" i="22" s="1"/>
  <c r="C3" i="16"/>
  <c r="C3" i="17" s="1"/>
  <c r="C3" i="19" s="1"/>
  <c r="C3" i="20" s="1"/>
  <c r="C3" i="21" s="1"/>
  <c r="C3" i="22" s="1"/>
  <c r="C3" i="23" s="1"/>
  <c r="C3" i="25" s="1"/>
  <c r="C3" i="27" s="1"/>
  <c r="D34" i="15"/>
  <c r="D39" i="16" s="1"/>
  <c r="D44" i="17" s="1"/>
  <c r="D27" i="15"/>
  <c r="D31" i="16" s="1"/>
  <c r="D35" i="17" s="1"/>
  <c r="D26" i="15"/>
  <c r="D30" i="16" s="1"/>
  <c r="D34" i="17" s="1"/>
  <c r="D20" i="15"/>
  <c r="D22" i="16" s="1"/>
  <c r="D25" i="17" s="1"/>
  <c r="D13" i="15"/>
  <c r="D15" i="16" s="1"/>
  <c r="D16" i="17" s="1"/>
  <c r="B22" i="16"/>
  <c r="B24" i="17"/>
  <c r="B24" i="19"/>
  <c r="B24" i="20" s="1"/>
  <c r="B26" i="21" s="1"/>
  <c r="B27" i="22"/>
  <c r="B41" i="16"/>
  <c r="B46" i="17"/>
  <c r="B46" i="19"/>
  <c r="D18" i="15"/>
  <c r="D22" i="15"/>
  <c r="D24" i="16" s="1"/>
  <c r="D37" i="15"/>
  <c r="D42" i="16"/>
  <c r="C46" i="16"/>
  <c r="C52" i="17" s="1"/>
  <c r="C52" i="19"/>
  <c r="C53" i="20"/>
  <c r="C60" i="21"/>
  <c r="C36" i="16"/>
  <c r="C41" i="17" s="1"/>
  <c r="C41" i="19"/>
  <c r="C41" i="20"/>
  <c r="C45" i="21"/>
  <c r="C46" i="22"/>
  <c r="C21" i="16"/>
  <c r="C23" i="17"/>
  <c r="C23" i="19"/>
  <c r="C23" i="20"/>
  <c r="C25" i="21"/>
  <c r="C26" i="22"/>
  <c r="C43" i="16"/>
  <c r="C48" i="17" s="1"/>
  <c r="C48" i="19"/>
  <c r="C48" i="20"/>
  <c r="C55" i="21"/>
  <c r="C56" i="22"/>
  <c r="B26" i="16"/>
  <c r="B29" i="17" s="1"/>
  <c r="B29" i="19" s="1"/>
  <c r="B29" i="20" s="1"/>
  <c r="B31" i="21" s="1"/>
  <c r="B32" i="22" s="1"/>
  <c r="B34" i="23" s="1"/>
  <c r="B34" i="25" s="1"/>
  <c r="B39" i="27" s="1"/>
  <c r="D3" i="15"/>
  <c r="D3" i="16"/>
  <c r="D3" i="17"/>
  <c r="D3" i="19"/>
  <c r="D3" i="23"/>
  <c r="D4" i="15"/>
  <c r="D4" i="16"/>
  <c r="D4" i="17"/>
  <c r="D4" i="19"/>
  <c r="D4" i="23"/>
  <c r="D5" i="15"/>
  <c r="D5" i="16"/>
  <c r="D5" i="17"/>
  <c r="D5" i="19"/>
  <c r="D5" i="23"/>
  <c r="D6" i="27" s="1"/>
  <c r="D5" i="25"/>
  <c r="D6" i="15"/>
  <c r="D6" i="16"/>
  <c r="D6" i="17"/>
  <c r="D6" i="19"/>
  <c r="D9" i="27" s="1"/>
  <c r="D7" i="15"/>
  <c r="D7" i="16"/>
  <c r="D7" i="17"/>
  <c r="D7" i="19"/>
  <c r="D10" i="27" s="1"/>
  <c r="D8" i="15"/>
  <c r="D8" i="16"/>
  <c r="D8" i="17"/>
  <c r="D8" i="19"/>
  <c r="D11" i="27" s="1"/>
  <c r="D9" i="15"/>
  <c r="D10" i="16"/>
  <c r="D10" i="17"/>
  <c r="D10" i="19"/>
  <c r="D14" i="27" s="1"/>
  <c r="D10" i="15"/>
  <c r="D12" i="16"/>
  <c r="D12" i="17"/>
  <c r="D12" i="19" s="1"/>
  <c r="D11" i="19"/>
  <c r="D15" i="27" s="1"/>
  <c r="D12" i="15"/>
  <c r="D14" i="16"/>
  <c r="D15" i="17"/>
  <c r="D13" i="19"/>
  <c r="D18" i="27" s="1"/>
  <c r="D11" i="15"/>
  <c r="D13" i="16"/>
  <c r="D14" i="17"/>
  <c r="D14" i="19"/>
  <c r="D15" i="15"/>
  <c r="D17" i="16"/>
  <c r="D18" i="17"/>
  <c r="D16" i="19"/>
  <c r="D22" i="27" s="1"/>
  <c r="D16" i="15"/>
  <c r="D18" i="16"/>
  <c r="D19" i="17"/>
  <c r="D17" i="19"/>
  <c r="D23" i="27" s="1"/>
  <c r="D17" i="15"/>
  <c r="D20" i="16"/>
  <c r="D21" i="17"/>
  <c r="D19" i="19"/>
  <c r="D25" i="27" s="1"/>
  <c r="D19" i="15"/>
  <c r="D21" i="16"/>
  <c r="D24" i="17"/>
  <c r="D22" i="19"/>
  <c r="D31" i="27" s="1"/>
  <c r="D21" i="15"/>
  <c r="D23" i="16"/>
  <c r="D26" i="17"/>
  <c r="D23" i="19"/>
  <c r="D32" i="27" s="1"/>
  <c r="D23" i="15"/>
  <c r="D25" i="16"/>
  <c r="D27" i="17"/>
  <c r="D24" i="19" s="1"/>
  <c r="D24" i="20" s="1"/>
  <c r="D27" i="19"/>
  <c r="D36" i="27" s="1"/>
  <c r="D24" i="15"/>
  <c r="D26" i="16"/>
  <c r="D29" i="17"/>
  <c r="D29" i="19"/>
  <c r="D39" i="27" s="1"/>
  <c r="D25" i="15"/>
  <c r="D27" i="16"/>
  <c r="D30" i="17"/>
  <c r="D26" i="19" s="1"/>
  <c r="D35" i="27" s="1"/>
  <c r="D30" i="19"/>
  <c r="D40" i="27" s="1"/>
  <c r="D28" i="15"/>
  <c r="D33" i="16"/>
  <c r="D37" i="17"/>
  <c r="D32" i="19"/>
  <c r="D42" i="27" s="1"/>
  <c r="D29" i="15"/>
  <c r="D34" i="16"/>
  <c r="D39" i="17"/>
  <c r="D34" i="19"/>
  <c r="D44" i="27" s="1"/>
  <c r="D31" i="15"/>
  <c r="D36" i="16"/>
  <c r="D41" i="17"/>
  <c r="D36" i="19"/>
  <c r="D46" i="27" s="1"/>
  <c r="D32" i="15"/>
  <c r="D37" i="16"/>
  <c r="D42" i="17"/>
  <c r="D37" i="19"/>
  <c r="D48" i="27" s="1"/>
  <c r="D33" i="15"/>
  <c r="D38" i="16"/>
  <c r="D43" i="17"/>
  <c r="D38" i="19"/>
  <c r="D49" i="27" s="1"/>
  <c r="D35" i="15"/>
  <c r="D40" i="16"/>
  <c r="D45" i="17"/>
  <c r="D39" i="19"/>
  <c r="D50" i="27" s="1"/>
  <c r="D36" i="15"/>
  <c r="D41" i="16"/>
  <c r="D46" i="17"/>
  <c r="D40" i="19"/>
  <c r="D51" i="27" s="1"/>
  <c r="D38" i="15"/>
  <c r="D43" i="16"/>
  <c r="D48" i="17"/>
  <c r="D41" i="19"/>
  <c r="D53" i="27" s="1"/>
  <c r="D39" i="15"/>
  <c r="D44" i="16"/>
  <c r="D49" i="17"/>
  <c r="D42" i="19"/>
  <c r="D55" i="27" s="1"/>
  <c r="D40" i="15"/>
  <c r="D45" i="16"/>
  <c r="D51" i="17"/>
  <c r="D43" i="19"/>
  <c r="D56" i="27" s="1"/>
  <c r="D41" i="15"/>
  <c r="D46" i="16"/>
  <c r="D52" i="17"/>
  <c r="D44" i="19"/>
  <c r="D57" i="27" s="1"/>
  <c r="B47" i="16"/>
  <c r="B53" i="17"/>
  <c r="B53" i="19"/>
  <c r="B54" i="20"/>
  <c r="B61" i="21"/>
  <c r="B62" i="22"/>
  <c r="B64" i="23"/>
  <c r="B64" i="25"/>
  <c r="B70" i="27" s="1"/>
  <c r="B46" i="16"/>
  <c r="B52" i="17"/>
  <c r="B52" i="19"/>
  <c r="B53" i="20"/>
  <c r="B60" i="21"/>
  <c r="B61" i="22"/>
  <c r="B63" i="23"/>
  <c r="B63" i="25"/>
  <c r="B69" i="27" s="1"/>
  <c r="B45" i="16"/>
  <c r="B51" i="17"/>
  <c r="B51" i="19"/>
  <c r="B52" i="20"/>
  <c r="B59" i="21"/>
  <c r="B60" i="22"/>
  <c r="B62" i="23"/>
  <c r="B62" i="25"/>
  <c r="B67" i="27" s="1"/>
  <c r="B44" i="16"/>
  <c r="B49" i="17"/>
  <c r="B49" i="19"/>
  <c r="B49" i="20"/>
  <c r="B56" i="21"/>
  <c r="B57" i="22" s="1"/>
  <c r="B59" i="23"/>
  <c r="B59" i="25"/>
  <c r="B64" i="27" s="1"/>
  <c r="B43" i="16"/>
  <c r="B48" i="17"/>
  <c r="B48" i="19"/>
  <c r="B48" i="20"/>
  <c r="B55" i="21"/>
  <c r="B56" i="22"/>
  <c r="B58" i="23"/>
  <c r="B58" i="25"/>
  <c r="B63" i="27" s="1"/>
  <c r="B42" i="16"/>
  <c r="B47" i="19"/>
  <c r="B47" i="20"/>
  <c r="B53" i="21" s="1"/>
  <c r="B56" i="23"/>
  <c r="B56" i="25"/>
  <c r="B61" i="27" s="1"/>
  <c r="B40" i="16"/>
  <c r="B45" i="17"/>
  <c r="B45" i="19"/>
  <c r="B45" i="20"/>
  <c r="B51" i="21"/>
  <c r="B52" i="22"/>
  <c r="B54" i="23"/>
  <c r="B54" i="25"/>
  <c r="B59" i="27" s="1"/>
  <c r="B39" i="16"/>
  <c r="B44" i="17"/>
  <c r="B44" i="19"/>
  <c r="B44" i="20"/>
  <c r="B49" i="21"/>
  <c r="B50" i="22"/>
  <c r="B52" i="23"/>
  <c r="B52" i="25"/>
  <c r="B57" i="27" s="1"/>
  <c r="B38" i="16"/>
  <c r="B43" i="17"/>
  <c r="B43" i="19"/>
  <c r="B43" i="20" s="1"/>
  <c r="B48" i="21"/>
  <c r="B49" i="22"/>
  <c r="B51" i="23"/>
  <c r="B51" i="25"/>
  <c r="B56" i="27" s="1"/>
  <c r="B37" i="16"/>
  <c r="B42" i="17"/>
  <c r="B42" i="19"/>
  <c r="B42" i="20"/>
  <c r="B47" i="21"/>
  <c r="B48" i="22"/>
  <c r="B50" i="23"/>
  <c r="B50" i="25"/>
  <c r="B55" i="27" s="1"/>
  <c r="B36" i="16"/>
  <c r="B41" i="17"/>
  <c r="B41" i="19"/>
  <c r="B41" i="20"/>
  <c r="B45" i="21"/>
  <c r="B46" i="22"/>
  <c r="B46" i="20" s="1"/>
  <c r="B52" i="21" s="1"/>
  <c r="B53" i="22" s="1"/>
  <c r="B55" i="23" s="1"/>
  <c r="B55" i="25" s="1"/>
  <c r="B60" i="27" s="1"/>
  <c r="B48" i="23"/>
  <c r="B48" i="25"/>
  <c r="B35" i="16"/>
  <c r="B40" i="17"/>
  <c r="B40" i="19"/>
  <c r="B40" i="20"/>
  <c r="B43" i="21"/>
  <c r="B34" i="16"/>
  <c r="B39" i="17"/>
  <c r="B39" i="19"/>
  <c r="B39" i="20"/>
  <c r="B42" i="21"/>
  <c r="B43" i="22"/>
  <c r="B45" i="23"/>
  <c r="B45" i="25"/>
  <c r="B50" i="27" s="1"/>
  <c r="B33" i="16"/>
  <c r="B37" i="17"/>
  <c r="B37" i="19"/>
  <c r="B37" i="20"/>
  <c r="B40" i="21"/>
  <c r="B41" i="22"/>
  <c r="B43" i="23"/>
  <c r="B43" i="25"/>
  <c r="B48" i="27" s="1"/>
  <c r="B31" i="16"/>
  <c r="B35" i="17"/>
  <c r="B35" i="19"/>
  <c r="B35" i="20"/>
  <c r="B37" i="21"/>
  <c r="B38" i="22"/>
  <c r="B40" i="23"/>
  <c r="B40" i="25"/>
  <c r="B45" i="27" s="1"/>
  <c r="B30" i="16"/>
  <c r="B34" i="17"/>
  <c r="B34" i="19"/>
  <c r="B34" i="20"/>
  <c r="B36" i="21"/>
  <c r="B37" i="22"/>
  <c r="B39" i="23"/>
  <c r="B39" i="25"/>
  <c r="B44" i="27" s="1"/>
  <c r="B27" i="16"/>
  <c r="B30" i="17"/>
  <c r="B30" i="19"/>
  <c r="B30" i="20"/>
  <c r="B32" i="21"/>
  <c r="B33" i="22"/>
  <c r="B35" i="23"/>
  <c r="B35" i="25"/>
  <c r="B40" i="27" s="1"/>
  <c r="B25" i="16"/>
  <c r="B27" i="17"/>
  <c r="B27" i="19"/>
  <c r="B27" i="20"/>
  <c r="B29" i="21"/>
  <c r="B30" i="22"/>
  <c r="B32" i="23"/>
  <c r="B32" i="25"/>
  <c r="B36" i="27" s="1"/>
  <c r="B24" i="16"/>
  <c r="B26" i="17"/>
  <c r="B26" i="19"/>
  <c r="B26" i="20"/>
  <c r="B28" i="21"/>
  <c r="B29" i="22"/>
  <c r="B31" i="23"/>
  <c r="B31" i="25"/>
  <c r="B35" i="27" s="1"/>
  <c r="B34" i="28" s="1"/>
  <c r="B23" i="16"/>
  <c r="B25" i="17"/>
  <c r="B25" i="19"/>
  <c r="B25" i="20"/>
  <c r="B27" i="21"/>
  <c r="B28" i="22"/>
  <c r="B30" i="23"/>
  <c r="B30" i="25"/>
  <c r="B23" i="17"/>
  <c r="B23" i="19"/>
  <c r="B23" i="20"/>
  <c r="B25" i="21"/>
  <c r="B26" i="22"/>
  <c r="B29" i="23" s="1"/>
  <c r="B29" i="25" s="1"/>
  <c r="B33" i="27" s="1"/>
  <c r="B28" i="23"/>
  <c r="B28" i="25"/>
  <c r="B32" i="27" s="1"/>
  <c r="B21" i="17"/>
  <c r="B21" i="19"/>
  <c r="B21" i="20"/>
  <c r="B22" i="21"/>
  <c r="B23" i="22"/>
  <c r="B25" i="23" s="1"/>
  <c r="B25" i="25"/>
  <c r="B18" i="16"/>
  <c r="B19" i="17"/>
  <c r="B19" i="19"/>
  <c r="B19" i="20"/>
  <c r="B20" i="21"/>
  <c r="B21" i="22"/>
  <c r="B23" i="23"/>
  <c r="B23" i="25"/>
  <c r="B25" i="27" s="1"/>
  <c r="B17" i="16"/>
  <c r="B18" i="17"/>
  <c r="B18" i="19"/>
  <c r="B18" i="20"/>
  <c r="B19" i="21"/>
  <c r="B20" i="22"/>
  <c r="B22" i="23"/>
  <c r="B22" i="25"/>
  <c r="B24" i="27" s="1"/>
  <c r="B16" i="16"/>
  <c r="B17" i="17"/>
  <c r="B17" i="19"/>
  <c r="B17" i="20"/>
  <c r="B23" i="27" s="1"/>
  <c r="B15" i="16"/>
  <c r="B16" i="17"/>
  <c r="B16" i="19"/>
  <c r="B16" i="20"/>
  <c r="B17" i="21"/>
  <c r="B18" i="22"/>
  <c r="B20" i="23"/>
  <c r="B20" i="25"/>
  <c r="B22" i="27" s="1"/>
  <c r="B14" i="16"/>
  <c r="B15" i="17"/>
  <c r="B15" i="19"/>
  <c r="B15" i="20"/>
  <c r="B19" i="23"/>
  <c r="B19" i="25"/>
  <c r="B21" i="27" s="1"/>
  <c r="B13" i="16"/>
  <c r="B14" i="17"/>
  <c r="B14" i="19"/>
  <c r="B14" i="20"/>
  <c r="B15" i="21"/>
  <c r="B16" i="22"/>
  <c r="B18" i="23"/>
  <c r="B18" i="25"/>
  <c r="B20" i="27" s="1"/>
  <c r="B12" i="16"/>
  <c r="B12" i="17"/>
  <c r="B12" i="19"/>
  <c r="B12" i="20"/>
  <c r="B13" i="21"/>
  <c r="B14" i="22"/>
  <c r="B16" i="23"/>
  <c r="B16" i="25" s="1"/>
  <c r="B17" i="27" s="1"/>
  <c r="B10" i="16"/>
  <c r="B10" i="17"/>
  <c r="B10" i="19"/>
  <c r="B10" i="20"/>
  <c r="B11" i="21"/>
  <c r="B12" i="22"/>
  <c r="B13" i="23"/>
  <c r="B13" i="25"/>
  <c r="B14" i="27" s="1"/>
  <c r="B8" i="17"/>
  <c r="B8" i="19"/>
  <c r="B8" i="20"/>
  <c r="B9" i="21"/>
  <c r="B9" i="22"/>
  <c r="B10" i="23"/>
  <c r="B10" i="25"/>
  <c r="B11" i="27" s="1"/>
  <c r="B7" i="16"/>
  <c r="B7" i="17"/>
  <c r="B7" i="19"/>
  <c r="B7" i="20"/>
  <c r="B8" i="21"/>
  <c r="B8" i="22"/>
  <c r="B9" i="23"/>
  <c r="B9" i="25"/>
  <c r="B10" i="27" s="1"/>
  <c r="B6" i="16"/>
  <c r="B6" i="17"/>
  <c r="B6" i="19"/>
  <c r="B6" i="20"/>
  <c r="B7" i="21"/>
  <c r="B7" i="22"/>
  <c r="B8" i="23"/>
  <c r="B8" i="25"/>
  <c r="B9" i="27" s="1"/>
  <c r="B5" i="16"/>
  <c r="B5" i="17"/>
  <c r="B5" i="19"/>
  <c r="B5" i="20"/>
  <c r="B5" i="21"/>
  <c r="B5" i="22"/>
  <c r="B5" i="23"/>
  <c r="B5" i="25"/>
  <c r="B6" i="27" s="1"/>
  <c r="B4" i="16"/>
  <c r="B4" i="17"/>
  <c r="B4" i="19"/>
  <c r="B4" i="20"/>
  <c r="B4" i="21"/>
  <c r="B4" i="22"/>
  <c r="B4" i="23"/>
  <c r="B4" i="25"/>
  <c r="B4" i="27" s="1"/>
  <c r="B3" i="16"/>
  <c r="B3" i="17"/>
  <c r="B3" i="19"/>
  <c r="B3" i="20"/>
  <c r="B3" i="21"/>
  <c r="B3" i="22"/>
  <c r="B3" i="23"/>
  <c r="B3" i="25"/>
  <c r="B3" i="27" s="1"/>
  <c r="C47" i="16"/>
  <c r="C53" i="17" s="1"/>
  <c r="C53" i="19"/>
  <c r="C54" i="20"/>
  <c r="C61" i="21"/>
  <c r="C62" i="22"/>
  <c r="C64" i="23" s="1"/>
  <c r="C64" i="25"/>
  <c r="C70" i="27" s="1"/>
  <c r="C45" i="16"/>
  <c r="C51" i="17" s="1"/>
  <c r="C51" i="19"/>
  <c r="C52" i="20"/>
  <c r="C59" i="21"/>
  <c r="C60" i="22"/>
  <c r="C62" i="23" s="1"/>
  <c r="C62" i="25"/>
  <c r="C67" i="27" s="1"/>
  <c r="C44" i="16"/>
  <c r="C49" i="17" s="1"/>
  <c r="C49" i="19"/>
  <c r="C49" i="20"/>
  <c r="C56" i="21"/>
  <c r="C57" i="22"/>
  <c r="C59" i="23" s="1"/>
  <c r="C59" i="25"/>
  <c r="C64" i="27" s="1"/>
  <c r="C42" i="16"/>
  <c r="C47" i="17" s="1"/>
  <c r="C56" i="25"/>
  <c r="C61" i="27" s="1"/>
  <c r="C41" i="16"/>
  <c r="C46" i="17" s="1"/>
  <c r="C46" i="19"/>
  <c r="C46" i="20"/>
  <c r="C55" i="25"/>
  <c r="C60" i="27" s="1"/>
  <c r="C40" i="16"/>
  <c r="C45" i="17" s="1"/>
  <c r="C45" i="19"/>
  <c r="C45" i="20"/>
  <c r="C51" i="21"/>
  <c r="C52" i="22"/>
  <c r="C54" i="23" s="1"/>
  <c r="C54" i="25"/>
  <c r="C59" i="27" s="1"/>
  <c r="C38" i="16"/>
  <c r="C43" i="17" s="1"/>
  <c r="C51" i="25"/>
  <c r="C56" i="27" s="1"/>
  <c r="C37" i="16"/>
  <c r="C42" i="17" s="1"/>
  <c r="C50" i="25"/>
  <c r="C55" i="27" s="1"/>
  <c r="C39" i="16"/>
  <c r="C44" i="17" s="1"/>
  <c r="C44" i="19"/>
  <c r="C44" i="20"/>
  <c r="C35" i="16"/>
  <c r="C40" i="17" s="1"/>
  <c r="C40" i="19"/>
  <c r="C40" i="20"/>
  <c r="C43" i="21"/>
  <c r="C44" i="22"/>
  <c r="C46" i="23" s="1"/>
  <c r="C46" i="25"/>
  <c r="C51" i="27" s="1"/>
  <c r="C34" i="16"/>
  <c r="C39" i="17" s="1"/>
  <c r="C39" i="19"/>
  <c r="C39" i="20"/>
  <c r="C42" i="21"/>
  <c r="C43" i="22"/>
  <c r="C45" i="23" s="1"/>
  <c r="C45" i="25"/>
  <c r="C50" i="27" s="1"/>
  <c r="C33" i="16"/>
  <c r="C37" i="17" s="1"/>
  <c r="C37" i="19"/>
  <c r="C37" i="20"/>
  <c r="C40" i="21"/>
  <c r="C41" i="22"/>
  <c r="C43" i="23" s="1"/>
  <c r="C43" i="25"/>
  <c r="C48" i="27" s="1"/>
  <c r="C31" i="16"/>
  <c r="C35" i="17" s="1"/>
  <c r="C35" i="19"/>
  <c r="C35" i="20"/>
  <c r="C37" i="21"/>
  <c r="C38" i="22"/>
  <c r="C40" i="23" s="1"/>
  <c r="C40" i="25"/>
  <c r="C45" i="27" s="1"/>
  <c r="C30" i="16"/>
  <c r="C34" i="17"/>
  <c r="C34" i="19"/>
  <c r="C34" i="20"/>
  <c r="C36" i="21"/>
  <c r="C37" i="22"/>
  <c r="C39" i="23" s="1"/>
  <c r="C39" i="25"/>
  <c r="C44" i="27" s="1"/>
  <c r="C27" i="16"/>
  <c r="C30" i="17"/>
  <c r="C30" i="19"/>
  <c r="C30" i="20"/>
  <c r="C32" i="21"/>
  <c r="C33" i="22"/>
  <c r="C35" i="23" s="1"/>
  <c r="C35" i="25"/>
  <c r="C40" i="27" s="1"/>
  <c r="C25" i="16"/>
  <c r="C27" i="17"/>
  <c r="C27" i="19"/>
  <c r="C27" i="20"/>
  <c r="C29" i="21"/>
  <c r="C30" i="22"/>
  <c r="C32" i="23" s="1"/>
  <c r="C32" i="25"/>
  <c r="C36" i="27" s="1"/>
  <c r="C24" i="16"/>
  <c r="C26" i="17"/>
  <c r="C26" i="19"/>
  <c r="C26" i="20"/>
  <c r="C28" i="21"/>
  <c r="C29" i="22"/>
  <c r="C31" i="23" s="1"/>
  <c r="C31" i="25"/>
  <c r="C35" i="27" s="1"/>
  <c r="C23" i="16"/>
  <c r="C25" i="17"/>
  <c r="C25" i="19"/>
  <c r="C25" i="20"/>
  <c r="C27" i="21"/>
  <c r="C28" i="22"/>
  <c r="C30" i="23" s="1"/>
  <c r="C30" i="25"/>
  <c r="C34" i="27" s="1"/>
  <c r="C22" i="16"/>
  <c r="C24" i="17"/>
  <c r="C24" i="19"/>
  <c r="C24" i="20"/>
  <c r="C26" i="21"/>
  <c r="C28" i="23" s="1"/>
  <c r="C28" i="25"/>
  <c r="C32" i="27" s="1"/>
  <c r="C20" i="16"/>
  <c r="C21" i="17"/>
  <c r="C21" i="19"/>
  <c r="C21" i="20"/>
  <c r="C22" i="21"/>
  <c r="C23" i="22"/>
  <c r="C25" i="23"/>
  <c r="C25" i="25"/>
  <c r="C29" i="27" s="1"/>
  <c r="C18" i="16"/>
  <c r="C19" i="17"/>
  <c r="C19" i="19"/>
  <c r="C19" i="20"/>
  <c r="C20" i="21"/>
  <c r="C21" i="22"/>
  <c r="C23" i="23"/>
  <c r="C23" i="25"/>
  <c r="C25" i="27" s="1"/>
  <c r="C17" i="16"/>
  <c r="C18" i="17"/>
  <c r="C18" i="19"/>
  <c r="C18" i="20"/>
  <c r="C19" i="21"/>
  <c r="C20" i="22"/>
  <c r="C22" i="23"/>
  <c r="C22" i="25"/>
  <c r="C24" i="27" s="1"/>
  <c r="C16" i="16"/>
  <c r="C17" i="17"/>
  <c r="C17" i="19"/>
  <c r="C17" i="20"/>
  <c r="C18" i="21" s="1"/>
  <c r="C19" i="22" s="1"/>
  <c r="C21" i="23" s="1"/>
  <c r="C21" i="25" s="1"/>
  <c r="C23" i="27" s="1"/>
  <c r="C15" i="16"/>
  <c r="C16" i="17"/>
  <c r="C16" i="19"/>
  <c r="C16" i="20"/>
  <c r="C17" i="21"/>
  <c r="C18" i="22"/>
  <c r="C20" i="23"/>
  <c r="C20" i="25"/>
  <c r="C22" i="27" s="1"/>
  <c r="C14" i="16"/>
  <c r="C15" i="17"/>
  <c r="C13" i="16"/>
  <c r="C14" i="17"/>
  <c r="C14" i="19"/>
  <c r="C14" i="20"/>
  <c r="C15" i="21"/>
  <c r="C16" i="22"/>
  <c r="C18" i="23"/>
  <c r="C18" i="25"/>
  <c r="C20" i="27" s="1"/>
  <c r="C12" i="16"/>
  <c r="C12" i="17"/>
  <c r="C12" i="19"/>
  <c r="C12" i="20"/>
  <c r="C13" i="21"/>
  <c r="C14" i="22"/>
  <c r="C16" i="23"/>
  <c r="C16" i="25" s="1"/>
  <c r="C17" i="27" s="1"/>
  <c r="C10" i="16"/>
  <c r="C10" i="17"/>
  <c r="C10" i="19"/>
  <c r="C10" i="20"/>
  <c r="C11" i="21"/>
  <c r="C12" i="22"/>
  <c r="C13" i="23"/>
  <c r="C13" i="25"/>
  <c r="C14" i="27" s="1"/>
  <c r="C8" i="16"/>
  <c r="C8" i="17"/>
  <c r="C8" i="19"/>
  <c r="C8" i="20"/>
  <c r="C9" i="21"/>
  <c r="C9" i="22"/>
  <c r="C10" i="23"/>
  <c r="C10" i="25"/>
  <c r="C11" i="27" s="1"/>
  <c r="C7" i="16"/>
  <c r="C7" i="17"/>
  <c r="C7" i="19"/>
  <c r="C7" i="20"/>
  <c r="C8" i="21"/>
  <c r="C8" i="22"/>
  <c r="C9" i="23"/>
  <c r="C9" i="25"/>
  <c r="C10" i="27" s="1"/>
  <c r="C6" i="16"/>
  <c r="C6" i="17"/>
  <c r="C6" i="19"/>
  <c r="C6" i="20"/>
  <c r="C7" i="21"/>
  <c r="C7" i="22"/>
  <c r="C8" i="23"/>
  <c r="C8" i="25" s="1"/>
  <c r="C9" i="27" s="1"/>
  <c r="C5" i="16"/>
  <c r="C5" i="17"/>
  <c r="C5" i="19"/>
  <c r="C5" i="20"/>
  <c r="C5" i="21"/>
  <c r="C5" i="22"/>
  <c r="C5" i="23"/>
  <c r="C5" i="25"/>
  <c r="C6" i="27" s="1"/>
  <c r="C4" i="16"/>
  <c r="C4" i="17"/>
  <c r="C4" i="19"/>
  <c r="C4" i="20"/>
  <c r="C4" i="21"/>
  <c r="C4" i="22"/>
  <c r="C4" i="23"/>
  <c r="C4" i="25"/>
  <c r="C4" i="27" s="1"/>
  <c r="C26" i="16"/>
  <c r="C29" i="17"/>
  <c r="C29" i="19"/>
  <c r="C29" i="20" s="1"/>
  <c r="C31" i="21" s="1"/>
  <c r="C32" i="22" s="1"/>
  <c r="C30" i="21"/>
  <c r="C31" i="22" s="1"/>
  <c r="C33" i="23" s="1"/>
  <c r="C33" i="25" s="1"/>
  <c r="C38" i="27" s="1"/>
  <c r="B4" i="28" l="1"/>
  <c r="C4" i="28" s="1"/>
  <c r="B5" i="28"/>
  <c r="C5" i="28" s="1"/>
  <c r="B7" i="28"/>
  <c r="C7" i="28" s="1"/>
  <c r="B11" i="28"/>
  <c r="C11" i="28" s="1"/>
  <c r="B18" i="28"/>
  <c r="C18" i="28" s="1"/>
  <c r="B21" i="28"/>
  <c r="C21" i="28" s="1"/>
  <c r="B22" i="28"/>
  <c r="C22" i="28" s="1"/>
  <c r="B23" i="28"/>
  <c r="C23" i="28" s="1"/>
  <c r="B24" i="28"/>
  <c r="C24" i="28" s="1"/>
  <c r="B25" i="28"/>
  <c r="C25" i="28" s="1"/>
  <c r="B28" i="28"/>
  <c r="C28" i="28" s="1"/>
  <c r="B32" i="28"/>
  <c r="C32" i="28" s="1"/>
  <c r="B33" i="28"/>
  <c r="C33" i="28" s="1"/>
  <c r="C34" i="28"/>
  <c r="B35" i="28"/>
  <c r="C35" i="28" s="1"/>
  <c r="B39" i="28"/>
  <c r="C39" i="28" s="1"/>
  <c r="B43" i="28"/>
  <c r="C43" i="28" s="1"/>
  <c r="B44" i="28"/>
  <c r="C44" i="28" s="1"/>
  <c r="B47" i="28"/>
  <c r="C47" i="28" s="1"/>
  <c r="B49" i="28"/>
  <c r="C49" i="28" s="1"/>
  <c r="B50" i="28"/>
  <c r="C50" i="28" s="1"/>
  <c r="B52" i="28"/>
  <c r="C52" i="28" s="1"/>
  <c r="B54" i="28"/>
  <c r="C54" i="28" s="1"/>
  <c r="B55" i="28"/>
  <c r="C55" i="28" s="1"/>
  <c r="B57" i="28"/>
  <c r="C57" i="28" s="1"/>
  <c r="B59" i="28"/>
  <c r="C59" i="28" s="1"/>
  <c r="B62" i="28"/>
  <c r="C62" i="28" s="1"/>
  <c r="B65" i="28"/>
  <c r="C65" i="28" s="1"/>
  <c r="B68" i="28"/>
  <c r="C68" i="28" s="1"/>
  <c r="B38" i="28"/>
  <c r="C38" i="28" s="1"/>
  <c r="B58" i="28"/>
  <c r="C58" i="28" s="1"/>
  <c r="B67" i="28"/>
  <c r="C67" i="28" s="1"/>
  <c r="B61" i="28"/>
  <c r="C61" i="28" s="1"/>
  <c r="B10" i="28"/>
  <c r="C10" i="28" s="1"/>
  <c r="B15" i="28"/>
  <c r="C15" i="28" s="1"/>
  <c r="B12" i="28"/>
  <c r="C12" i="28" s="1"/>
  <c r="D4" i="25"/>
  <c r="D4" i="27"/>
  <c r="D3" i="25"/>
  <c r="D3" i="27"/>
  <c r="C19" i="23"/>
  <c r="C19" i="25" s="1"/>
  <c r="C21" i="27" s="1"/>
  <c r="C34" i="23"/>
  <c r="C34" i="25"/>
  <c r="C39" i="27" s="1"/>
  <c r="C15" i="19"/>
  <c r="C15" i="20" s="1"/>
  <c r="C16" i="21"/>
  <c r="C17" i="22"/>
  <c r="C29" i="25"/>
  <c r="C33" i="27" s="1"/>
  <c r="C27" i="22"/>
  <c r="C29" i="23"/>
  <c r="C49" i="21"/>
  <c r="C50" i="22" s="1"/>
  <c r="C52" i="25"/>
  <c r="C57" i="27" s="1"/>
  <c r="C52" i="23"/>
  <c r="C42" i="19"/>
  <c r="C42" i="20" s="1"/>
  <c r="C47" i="21" s="1"/>
  <c r="C48" i="22" s="1"/>
  <c r="C50" i="23"/>
  <c r="C43" i="19"/>
  <c r="C43" i="20" s="1"/>
  <c r="C48" i="21"/>
  <c r="C49" i="22" s="1"/>
  <c r="C51" i="23"/>
  <c r="C52" i="21"/>
  <c r="C53" i="22" s="1"/>
  <c r="C55" i="23"/>
  <c r="C47" i="19"/>
  <c r="C47" i="20" s="1"/>
  <c r="C53" i="21" s="1"/>
  <c r="C54" i="22" s="1"/>
  <c r="C56" i="23"/>
  <c r="B16" i="21"/>
  <c r="B17" i="22"/>
  <c r="D52" i="25"/>
  <c r="D44" i="20"/>
  <c r="D49" i="21"/>
  <c r="D50" i="22"/>
  <c r="D52" i="23"/>
  <c r="D51" i="25"/>
  <c r="D43" i="20"/>
  <c r="D48" i="21"/>
  <c r="D49" i="22"/>
  <c r="D51" i="23"/>
  <c r="D50" i="25"/>
  <c r="D42" i="20"/>
  <c r="D47" i="21"/>
  <c r="D48" i="22"/>
  <c r="D50" i="23"/>
  <c r="D48" i="25"/>
  <c r="D41" i="20"/>
  <c r="D45" i="21"/>
  <c r="D46" i="22"/>
  <c r="D48" i="23"/>
  <c r="D46" i="25"/>
  <c r="D40" i="20"/>
  <c r="D43" i="21"/>
  <c r="D44" i="22"/>
  <c r="D46" i="23"/>
  <c r="D39" i="20"/>
  <c r="D42" i="21"/>
  <c r="D43" i="22"/>
  <c r="D45" i="23"/>
  <c r="D45" i="25"/>
  <c r="D44" i="25"/>
  <c r="D38" i="20"/>
  <c r="D41" i="21"/>
  <c r="D42" i="22"/>
  <c r="D44" i="23"/>
  <c r="D43" i="25"/>
  <c r="D37" i="20"/>
  <c r="D40" i="21"/>
  <c r="D41" i="22"/>
  <c r="D43" i="23"/>
  <c r="D41" i="25"/>
  <c r="D36" i="20"/>
  <c r="D38" i="21"/>
  <c r="D39" i="22"/>
  <c r="D41" i="23"/>
  <c r="D39" i="25"/>
  <c r="D34" i="20"/>
  <c r="D36" i="21"/>
  <c r="D37" i="22"/>
  <c r="D39" i="23"/>
  <c r="D37" i="25"/>
  <c r="D32" i="20"/>
  <c r="D34" i="21"/>
  <c r="D35" i="22"/>
  <c r="D37" i="23"/>
  <c r="D35" i="25"/>
  <c r="D30" i="20"/>
  <c r="D32" i="21"/>
  <c r="D33" i="22"/>
  <c r="D35" i="23"/>
  <c r="D31" i="25"/>
  <c r="D26" i="20"/>
  <c r="D28" i="21"/>
  <c r="D29" i="22"/>
  <c r="D31" i="23"/>
  <c r="D34" i="25"/>
  <c r="D29" i="20"/>
  <c r="D31" i="21"/>
  <c r="D32" i="22"/>
  <c r="D34" i="23"/>
  <c r="D32" i="25"/>
  <c r="D27" i="20"/>
  <c r="D29" i="21"/>
  <c r="D30" i="22"/>
  <c r="D32" i="23"/>
  <c r="D28" i="25"/>
  <c r="D23" i="20"/>
  <c r="D25" i="21"/>
  <c r="D26" i="22"/>
  <c r="D28" i="23"/>
  <c r="D27" i="25"/>
  <c r="D22" i="20"/>
  <c r="D24" i="21"/>
  <c r="D25" i="22"/>
  <c r="D27" i="23"/>
  <c r="D23" i="25"/>
  <c r="D19" i="20"/>
  <c r="D20" i="21"/>
  <c r="D21" i="22"/>
  <c r="D23" i="23"/>
  <c r="D21" i="25"/>
  <c r="D17" i="20"/>
  <c r="D18" i="21"/>
  <c r="D19" i="22"/>
  <c r="D21" i="23"/>
  <c r="D20" i="25"/>
  <c r="D16" i="20"/>
  <c r="D17" i="21"/>
  <c r="D18" i="22"/>
  <c r="D20" i="23"/>
  <c r="D18" i="25"/>
  <c r="D14" i="20"/>
  <c r="D15" i="21"/>
  <c r="D16" i="22"/>
  <c r="D18" i="23"/>
  <c r="D17" i="25"/>
  <c r="D13" i="20"/>
  <c r="D14" i="21"/>
  <c r="D15" i="22"/>
  <c r="D17" i="23"/>
  <c r="D14" i="25"/>
  <c r="D11" i="20"/>
  <c r="D12" i="21"/>
  <c r="D13" i="22"/>
  <c r="D14" i="23"/>
  <c r="D16" i="25"/>
  <c r="D12" i="20"/>
  <c r="D13" i="21"/>
  <c r="D14" i="22"/>
  <c r="D16" i="23"/>
  <c r="D13" i="25"/>
  <c r="D10" i="20"/>
  <c r="D11" i="21"/>
  <c r="D12" i="22"/>
  <c r="D13" i="23"/>
  <c r="D10" i="25"/>
  <c r="D8" i="20"/>
  <c r="D9" i="21"/>
  <c r="D9" i="22"/>
  <c r="D10" i="23"/>
  <c r="D9" i="25"/>
  <c r="D7" i="20"/>
  <c r="D8" i="21"/>
  <c r="D8" i="22"/>
  <c r="D9" i="23"/>
  <c r="D8" i="25"/>
  <c r="D6" i="20"/>
  <c r="D7" i="21"/>
  <c r="D7" i="22"/>
  <c r="D8" i="23"/>
  <c r="D5" i="20"/>
  <c r="D5" i="21"/>
  <c r="D5" i="22"/>
  <c r="D4" i="20"/>
  <c r="D4" i="21"/>
  <c r="D4" i="22"/>
  <c r="D3" i="20"/>
  <c r="D3" i="21"/>
  <c r="D3" i="22"/>
  <c r="D2" i="23"/>
  <c r="D2" i="27" s="1"/>
  <c r="D2" i="22"/>
  <c r="D2" i="21"/>
  <c r="D2" i="25" l="1"/>
  <c r="C7" i="25"/>
  <c r="C8" i="27" s="1"/>
  <c r="C2" i="27"/>
  <c r="C2" i="25"/>
  <c r="C2" i="23"/>
  <c r="C63" i="23"/>
  <c r="C61" i="22"/>
  <c r="C63" i="25"/>
  <c r="C69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Ian Sarthou</author>
  </authors>
  <commentList>
    <comment ref="J4" authorId="0" shapeId="0" xr:uid="{CCD6E70D-85A0-4D6D-9AE1-CD57E2721DC2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8 March</t>
        </r>
      </text>
    </comment>
    <comment ref="L4" authorId="0" shapeId="0" xr:uid="{8F2F2C66-520B-4FF0-9A4C-790F5F55CCC2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17 April
</t>
        </r>
      </text>
    </comment>
    <comment ref="R4" authorId="0" shapeId="0" xr:uid="{B2735E1E-80BB-41CE-A28E-2154E1C438C3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7 July</t>
        </r>
      </text>
    </comment>
    <comment ref="V4" authorId="0" shapeId="0" xr:uid="{34E4251F-785C-4557-AB3E-481FEE9F1D5E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12 September
18 September</t>
        </r>
      </text>
    </comment>
    <comment ref="AB4" authorId="0" shapeId="0" xr:uid="{686C8471-EEAD-438C-AE8B-8A69504AD21A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Dec 6, 27, 28, 29
 </t>
        </r>
      </text>
    </comment>
    <comment ref="P5" authorId="0" shapeId="0" xr:uid="{C3547FF3-D139-43EA-B833-C15641A356FD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8 June</t>
        </r>
      </text>
    </comment>
    <comment ref="J7" authorId="0" shapeId="0" xr:uid="{D66701BE-1EBA-4BC8-A32E-6FA8458E55AA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8 March
</t>
        </r>
      </text>
    </comment>
    <comment ref="P7" authorId="0" shapeId="0" xr:uid="{7656687C-9D0A-4C5F-8ABF-029FFDD6F075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13 and 14 June</t>
        </r>
      </text>
    </comment>
    <comment ref="R7" authorId="0" shapeId="0" xr:uid="{8B2FF840-7D90-4ACA-B425-6AD59A4A6B65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21 July</t>
        </r>
      </text>
    </comment>
    <comment ref="T7" authorId="0" shapeId="0" xr:uid="{24D4BFAE-03E0-4762-8AF1-099DE1456A77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17,18 21 Aug</t>
        </r>
      </text>
    </comment>
    <comment ref="Z7" authorId="0" shapeId="0" xr:uid="{2F25D671-1CE1-4683-8157-EE9BAAF8EFE8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13 and 14</t>
        </r>
      </text>
    </comment>
    <comment ref="J8" authorId="0" shapeId="0" xr:uid="{A279EE2C-6DE5-446E-B2B2-FE1C95946B24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30 March</t>
        </r>
      </text>
    </comment>
    <comment ref="T8" authorId="0" shapeId="0" xr:uid="{9BB840B4-9456-4013-BBDC-E22BCE9B5D04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used up VL used SL for this date 19th Aug</t>
        </r>
      </text>
    </comment>
    <comment ref="V8" authorId="0" shapeId="0" xr:uid="{D1BF9FA8-89CD-463D-ADAE-2010BB3D1A11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12 September</t>
        </r>
      </text>
    </comment>
    <comment ref="J10" authorId="0" shapeId="0" xr:uid="{A0F2B253-4910-4A87-B60E-6170319F234F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3 Mar
</t>
        </r>
      </text>
    </comment>
    <comment ref="P10" authorId="0" shapeId="0" xr:uid="{199B714E-AEC2-4845-A9A2-22588EDFC770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22 and 23 June</t>
        </r>
      </text>
    </comment>
    <comment ref="AB10" authorId="0" shapeId="0" xr:uid="{75076B07-7334-46E8-9C79-C2788903113A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Dec 11,12, 18,19,20, 21, 22, 27, 28, 29</t>
        </r>
      </text>
    </comment>
    <comment ref="J11" authorId="0" shapeId="0" xr:uid="{4277E1A1-E1BA-4881-B1BC-AB10C748DE59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15 March</t>
        </r>
      </text>
    </comment>
    <comment ref="L11" authorId="0" shapeId="0" xr:uid="{2F799CB0-B3BF-4B7F-8CDB-465CE71E1D30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14 April</t>
        </r>
      </text>
    </comment>
    <comment ref="N11" authorId="0" shapeId="0" xr:uid="{5ECD5DF9-AF5F-4B21-979C-AD78179444FC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25 May
</t>
        </r>
      </text>
    </comment>
    <comment ref="R11" authorId="0" shapeId="0" xr:uid="{A58A3EE6-573B-4B77-9A8F-9F622A548B09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17 July</t>
        </r>
      </text>
    </comment>
    <comment ref="T11" authorId="0" shapeId="0" xr:uid="{388A6B0B-AA1E-4761-87F7-E3EF0F026F44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16 Aug</t>
        </r>
      </text>
    </comment>
    <comment ref="V11" authorId="0" shapeId="0" xr:uid="{BD080964-7863-418E-B7FC-C6381B874C39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4 and 5 Sept</t>
        </r>
      </text>
    </comment>
    <comment ref="L13" authorId="0" shapeId="0" xr:uid="{F379F47C-BC5F-4ABA-AB08-458999D995C9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17 24 April</t>
        </r>
      </text>
    </comment>
    <comment ref="P13" authorId="0" shapeId="0" xr:uid="{967E8EBD-56C9-4C6C-8248-BC2B33EA0EEB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15 June half day</t>
        </r>
      </text>
    </comment>
    <comment ref="R13" authorId="0" shapeId="0" xr:uid="{13799A74-9208-402E-941E-972036EF796F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7th July</t>
        </r>
      </text>
    </comment>
    <comment ref="Z13" authorId="0" shapeId="0" xr:uid="{56CE64DB-93F5-4C67-B839-D9B3DB4B190C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27 Nov</t>
        </r>
      </text>
    </comment>
    <comment ref="V14" authorId="0" shapeId="0" xr:uid="{05D1E4EB-8E3E-45DF-9158-0858DDAC8619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26 27
</t>
        </r>
      </text>
    </comment>
    <comment ref="N16" authorId="0" shapeId="0" xr:uid="{60823798-2434-4FE7-8F95-E50626EA79A3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May 3</t>
        </r>
      </text>
    </comment>
    <comment ref="V16" authorId="0" shapeId="0" xr:uid="{AC7D8AFD-29A1-4980-B5F7-FA328E4AD739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 and 4 Sept</t>
        </r>
      </text>
    </comment>
    <comment ref="X16" authorId="0" shapeId="0" xr:uid="{F2189D5E-AE22-4EC7-B4EE-B650E2DC832C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16 17 October</t>
        </r>
      </text>
    </comment>
    <comment ref="AB16" authorId="0" shapeId="0" xr:uid="{E28D5098-1EF9-4E37-B663-1F28AD09D84D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Dec 18, 19, 20, 21, 22, 27, 28, 29</t>
        </r>
      </text>
    </comment>
    <comment ref="J17" authorId="0" shapeId="0" xr:uid="{21087F14-C887-42EB-AB54-8FDC130C75CF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31 march</t>
        </r>
      </text>
    </comment>
    <comment ref="L17" authorId="0" shapeId="0" xr:uid="{174111DB-E241-4501-A460-1078F8624882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11 April</t>
        </r>
      </text>
    </comment>
    <comment ref="T17" authorId="0" shapeId="0" xr:uid="{A549572A-F8C5-41C2-AB8A-573C4BBDEBF1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11 Aug
</t>
        </r>
      </text>
    </comment>
    <comment ref="V17" authorId="0" shapeId="0" xr:uid="{AF2238AD-5A5F-4DF6-AD55-729B52EB396B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15 Sept</t>
        </r>
      </text>
    </comment>
    <comment ref="L22" authorId="0" shapeId="0" xr:uid="{DCE4437D-6CEA-486B-A946-74BB1CB7EEE8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17 April
</t>
        </r>
      </text>
    </comment>
    <comment ref="N22" authorId="0" shapeId="0" xr:uid="{DD69F986-EBBB-4767-8E7A-657D2FD7BF48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19, 23, 26, 27 and 28
</t>
        </r>
      </text>
    </comment>
    <comment ref="V22" authorId="0" shapeId="0" xr:uid="{0785825E-4E30-4CAB-A4E3-A1099EA820D2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11 September</t>
        </r>
      </text>
    </comment>
    <comment ref="J23" authorId="0" shapeId="0" xr:uid="{FE7B14F6-EB00-41DE-9EC6-B8A55E5F0B47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28 March
</t>
        </r>
      </text>
    </comment>
    <comment ref="N23" authorId="0" shapeId="0" xr:uid="{11C3C3EE-E22B-4D7A-9326-CD23ABF8E56A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19 May
</t>
        </r>
      </text>
    </comment>
    <comment ref="X23" authorId="0" shapeId="0" xr:uid="{757E9D10-8E74-43A1-99AF-11AB71BE4014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9 10 11</t>
        </r>
      </text>
    </comment>
    <comment ref="J25" authorId="0" shapeId="0" xr:uid="{7BD92715-0940-4EAE-9D26-4EF8DF4B6329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30 March
31 March half day
</t>
        </r>
      </text>
    </comment>
    <comment ref="L25" authorId="0" shapeId="0" xr:uid="{91426C6C-C908-4D35-835F-3AC2BF1D7BCF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April 25
</t>
        </r>
      </text>
    </comment>
    <comment ref="T26" authorId="0" shapeId="0" xr:uid="{162B59A0-3EAE-4115-B51A-7247A4AEB40D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9 Aug</t>
        </r>
      </text>
    </comment>
    <comment ref="X26" authorId="0" shapeId="0" xr:uid="{71EBE070-4DAE-4755-9477-90E76204FEFB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12 Oct 
13 Oct</t>
        </r>
      </text>
    </comment>
    <comment ref="Z26" authorId="0" shapeId="0" xr:uid="{0C166849-BEDB-4E67-86C7-709A18718510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7 Nov
8 Nov
9 Nov
10 Nov</t>
        </r>
      </text>
    </comment>
    <comment ref="N28" authorId="0" shapeId="0" xr:uid="{664F7E03-EB76-42A5-8301-AB617C8D36E9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17th to 19th May</t>
        </r>
      </text>
    </comment>
    <comment ref="V28" authorId="0" shapeId="0" xr:uid="{90E21545-8B24-4A75-8E01-5816D55E6FAB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4 Sept
5 Sept
</t>
        </r>
      </text>
    </comment>
    <comment ref="Z34" authorId="0" shapeId="0" xr:uid="{7B38A405-D33D-4917-976A-92F3C81B0632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7 Nov</t>
        </r>
      </text>
    </comment>
    <comment ref="X35" authorId="0" shapeId="0" xr:uid="{8A38AE7B-7039-45C2-8359-BB328F057A12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 Oct</t>
        </r>
      </text>
    </comment>
    <comment ref="Z37" authorId="0" shapeId="0" xr:uid="{0994028B-E44F-410A-8585-8E2FDA9221C3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 Nov
15 Nov</t>
        </r>
      </text>
    </comment>
    <comment ref="AB37" authorId="0" shapeId="0" xr:uid="{55471025-FEC9-4E38-A199-8ADCA83C6336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Dec 13, 14, 27, 28, 29</t>
        </r>
      </text>
    </comment>
    <comment ref="L40" authorId="0" shapeId="0" xr:uid="{CC2D7700-ACF7-4BEA-8D43-AFCBDCB71CF6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26 April </t>
        </r>
      </text>
    </comment>
    <comment ref="T41" authorId="0" shapeId="0" xr:uid="{8CD8A814-2A92-412C-B32D-2CF16CCBEED9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14th Aug</t>
        </r>
      </text>
    </comment>
    <comment ref="X41" authorId="0" shapeId="0" xr:uid="{747A08F6-238A-48A1-BF67-8CF0024F6EBD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12 October</t>
        </r>
      </text>
    </comment>
    <comment ref="Z43" authorId="0" shapeId="0" xr:uid="{EE2B8C53-700A-4282-A098-B22EA2E0D608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7 Nov
</t>
        </r>
      </text>
    </comment>
    <comment ref="AB43" authorId="0" shapeId="0" xr:uid="{588D6103-148D-4C33-8F48-2B92952A0071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Dec 13, 14, 27, 28, 29</t>
        </r>
      </text>
    </comment>
    <comment ref="Z44" authorId="0" shapeId="0" xr:uid="{08B642F9-2504-42DD-9FF6-04B14D8F5E8D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nov 22</t>
        </r>
      </text>
    </comment>
    <comment ref="Z46" authorId="0" shapeId="0" xr:uid="{CDC37187-AD59-46C0-B9C4-8CEC3D805A98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13 Nov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Ian Sarthou</author>
  </authors>
  <commentList>
    <comment ref="F4" authorId="0" shapeId="0" xr:uid="{C6CE6A42-A669-4087-8B33-9539B4786092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Jan 2,3,4</t>
        </r>
      </text>
    </comment>
    <comment ref="R4" authorId="0" shapeId="0" xr:uid="{05ABA48A-402E-48A8-8CDE-CE53BF967968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Jul 17</t>
        </r>
      </text>
    </comment>
    <comment ref="V4" authorId="0" shapeId="0" xr:uid="{79AF9C89-1774-4EE1-85AC-7F1C8FAA77FC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16, 18, 27, 28</t>
        </r>
      </text>
    </comment>
    <comment ref="F5" authorId="0" shapeId="0" xr:uid="{32ABE273-1DEA-4E38-AD95-37706B2832AE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Jan 31</t>
        </r>
      </text>
    </comment>
    <comment ref="H5" authorId="0" shapeId="0" xr:uid="{14387EFE-7469-4DE3-B85E-1AF0E43A3CC3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Feb 28, 29</t>
        </r>
      </text>
    </comment>
    <comment ref="J5" authorId="0" shapeId="0" xr:uid="{96973C2D-7734-4B45-BDA0-9312E41C8C55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Mar 1</t>
        </r>
      </text>
    </comment>
    <comment ref="F7" authorId="0" shapeId="0" xr:uid="{9474F27D-ADF0-4440-857F-AA736BE06256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Jan 2
</t>
        </r>
      </text>
    </comment>
    <comment ref="L7" authorId="0" shapeId="0" xr:uid="{1B533C7F-E217-4BE7-802D-B3EC7A16D5C2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Apr 22
</t>
        </r>
      </text>
    </comment>
    <comment ref="P7" authorId="0" shapeId="0" xr:uid="{1A384F4D-71AC-422E-B0B6-F114945BAF30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jun 14, 17, 18, 19, 20, 21
</t>
        </r>
      </text>
    </comment>
    <comment ref="R7" authorId="0" shapeId="0" xr:uid="{4ECBEB81-4576-4D88-A53B-E1A0B8D47DEA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Jul 23 26 29</t>
        </r>
      </text>
    </comment>
    <comment ref="L8" authorId="0" shapeId="0" xr:uid="{051B0E90-2AE3-4D05-B19A-9621E06A8763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Aprl 12 and 17
</t>
        </r>
      </text>
    </comment>
    <comment ref="N8" authorId="0" shapeId="0" xr:uid="{BA3579E2-53B0-4B04-B6B6-E10CF9C7CFF3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May 10</t>
        </r>
      </text>
    </comment>
    <comment ref="P8" authorId="0" shapeId="0" xr:uid="{5C3AAB5F-0DA5-47DD-AFEE-DF01F5D4F4C9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Jun 7, 24
</t>
        </r>
      </text>
    </comment>
    <comment ref="V8" authorId="0" shapeId="0" xr:uid="{0C90ECF6-1704-4D57-9CDF-79398BD90900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13</t>
        </r>
      </text>
    </comment>
    <comment ref="H10" authorId="0" shapeId="0" xr:uid="{F6656649-035D-466A-AB1B-7679FC5098B8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Jan 2
</t>
        </r>
      </text>
    </comment>
    <comment ref="N10" authorId="0" shapeId="0" xr:uid="{25B2F618-9C31-4B56-9300-BA9069E6B534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Emergency leave May 17</t>
        </r>
      </text>
    </comment>
    <comment ref="R10" authorId="0" shapeId="0" xr:uid="{3EEE096C-7F01-4659-BD0C-F43F6896D69D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23 </t>
        </r>
      </text>
    </comment>
    <comment ref="T10" authorId="0" shapeId="0" xr:uid="{17ADB101-3C50-4C43-8DB6-E35C0DE44CAF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Aug 2
</t>
        </r>
      </text>
    </comment>
    <comment ref="L11" authorId="0" shapeId="0" xr:uid="{1B9464E8-0166-41EF-8D2A-6070D8832396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Apl 29
</t>
        </r>
      </text>
    </comment>
    <comment ref="P11" authorId="0" shapeId="0" xr:uid="{0CA21D6A-4513-4386-AEB2-BBDD1417AB11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Jun 27
</t>
        </r>
      </text>
    </comment>
    <comment ref="F13" authorId="0" shapeId="0" xr:uid="{8EDD89AD-24E4-4203-97C3-9A6F84E2EC54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Jan 2,3 and 22</t>
        </r>
      </text>
    </comment>
    <comment ref="P13" authorId="0" shapeId="0" xr:uid="{CBBC663D-8E6E-496E-B220-B90C8B9F9130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Jun 24
</t>
        </r>
      </text>
    </comment>
    <comment ref="F16" authorId="0" shapeId="0" xr:uid="{5E33A438-EE7A-4EA8-AF0A-A9028CBC230E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Jan 2 and 9</t>
        </r>
      </text>
    </comment>
    <comment ref="L16" authorId="0" shapeId="0" xr:uid="{7D4F1200-EB88-4D29-A5BB-EA71C9D7E88C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Apl 11 and 12</t>
        </r>
      </text>
    </comment>
    <comment ref="P16" authorId="0" shapeId="0" xr:uid="{9C092062-E67F-4793-88CA-A4136F35C1C3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Jun 25, 28
</t>
        </r>
      </text>
    </comment>
    <comment ref="F17" authorId="0" shapeId="0" xr:uid="{53B0CADF-9F8B-44ED-A382-C555E994BF1C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Jan 4</t>
        </r>
      </text>
    </comment>
    <comment ref="H17" authorId="0" shapeId="0" xr:uid="{67E41D38-43A6-4F09-8119-B57DE93E11AE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Feb 14
</t>
        </r>
      </text>
    </comment>
    <comment ref="N17" authorId="0" shapeId="0" xr:uid="{42DA484D-67CC-4D0B-BADF-0F38D263C0E1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May 9</t>
        </r>
      </text>
    </comment>
    <comment ref="P17" authorId="0" shapeId="0" xr:uid="{BFAADB2C-526B-403C-AC9A-16162134ADE7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Jun 13</t>
        </r>
      </text>
    </comment>
    <comment ref="R17" authorId="0" shapeId="0" xr:uid="{179B3646-346E-4C82-B2DD-80537C310D04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Jul 26
</t>
        </r>
      </text>
    </comment>
    <comment ref="T17" authorId="0" shapeId="0" xr:uid="{A4980452-9D7F-4983-891E-F79AC687CABF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Aug 9</t>
        </r>
      </text>
    </comment>
    <comment ref="F19" authorId="0" shapeId="0" xr:uid="{103B01E1-1CD0-431D-98E5-8F81F03AF566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Jan 2</t>
        </r>
      </text>
    </comment>
    <comment ref="N19" authorId="0" shapeId="0" xr:uid="{38F00613-1D8F-4DDE-806D-CA36D0BACD49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May 1</t>
        </r>
      </text>
    </comment>
    <comment ref="P19" authorId="0" shapeId="0" xr:uid="{C01654B4-4A6F-4DA0-801E-F71FFB40C327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Jun 14
</t>
        </r>
      </text>
    </comment>
    <comment ref="P20" authorId="0" shapeId="0" xr:uid="{60DE62E2-842A-46D2-904E-D93FB4EDAC1F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Jun 18
</t>
        </r>
      </text>
    </comment>
    <comment ref="T20" authorId="0" shapeId="0" xr:uid="{51412D60-C7AA-4B2D-8A43-866E083F1034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16</t>
        </r>
      </text>
    </comment>
    <comment ref="F22" authorId="0" shapeId="0" xr:uid="{67614A7C-4DEB-432D-A163-E6BD81625670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Jan 2</t>
        </r>
      </text>
    </comment>
    <comment ref="H22" authorId="0" shapeId="0" xr:uid="{640BAF4D-0515-4D4B-9C9B-7CC753FD781D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Feb 2 and 5</t>
        </r>
      </text>
    </comment>
    <comment ref="J22" authorId="0" shapeId="0" xr:uid="{0C8969F6-60F2-415A-8D46-71D1D5640E1C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Mar 1</t>
        </r>
      </text>
    </comment>
    <comment ref="N22" authorId="0" shapeId="0" xr:uid="{594C6CCA-9741-4683-8384-B19257C62FFA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May 3,6,7,8,9</t>
        </r>
      </text>
    </comment>
    <comment ref="F23" authorId="0" shapeId="0" xr:uid="{7255C288-04DA-44C6-878B-B7A75E30DBBA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Jan 15 and 16</t>
        </r>
      </text>
    </comment>
    <comment ref="F25" authorId="0" shapeId="0" xr:uid="{4120F8B5-EBE1-48A9-B1DA-677532B3479B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Jan 2, 3</t>
        </r>
      </text>
    </comment>
    <comment ref="N25" authorId="0" shapeId="0" xr:uid="{3AB9EFE6-36B6-48B3-8C68-349E164D804E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May 9 and 10</t>
        </r>
      </text>
    </comment>
    <comment ref="R25" authorId="0" shapeId="0" xr:uid="{0B554283-75FA-4FC3-A463-69732DE0F9C9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July 25</t>
        </r>
      </text>
    </comment>
    <comment ref="N26" authorId="0" shapeId="0" xr:uid="{A875034D-04F1-43BD-899D-E2D71A16F237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May 2 and 3
</t>
        </r>
      </text>
    </comment>
    <comment ref="V26" authorId="0" shapeId="0" xr:uid="{BDF8FA9A-A8E7-43B9-8CBF-6626FAFD013B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R27" authorId="0" shapeId="0" xr:uid="{655190B1-DD30-414A-AFC2-64F33ECAE12F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Aug 8</t>
        </r>
      </text>
    </comment>
    <comment ref="F29" authorId="0" shapeId="0" xr:uid="{3FABE354-86FF-4552-AD6D-AED5907B117A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Jan 2,8,16,17,18,23</t>
        </r>
      </text>
    </comment>
    <comment ref="H29" authorId="0" shapeId="0" xr:uid="{9FD2B76C-137D-4F76-8A6A-3D6BD91092EF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13 Feb</t>
        </r>
      </text>
    </comment>
    <comment ref="N29" authorId="0" shapeId="0" xr:uid="{A329CB1A-032A-4A21-A089-0ABF6460840E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May 3</t>
        </r>
      </text>
    </comment>
    <comment ref="P29" authorId="0" shapeId="0" xr:uid="{461F5A99-4FA8-4DB9-B424-C0B32747C4D6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Jun 27</t>
        </r>
      </text>
    </comment>
    <comment ref="V29" authorId="0" shapeId="0" xr:uid="{EA2AD568-AC76-4178-BB92-80B3AB19E1FC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6</t>
        </r>
      </text>
    </comment>
    <comment ref="P32" authorId="0" shapeId="0" xr:uid="{8C8A6D58-3ADB-4B5E-ADA4-27582EAAA940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Jun 14</t>
        </r>
      </text>
    </comment>
    <comment ref="F34" authorId="0" shapeId="0" xr:uid="{A856E106-5770-4794-B55C-2FD682994722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Jan 2,3,4,5
</t>
        </r>
      </text>
    </comment>
    <comment ref="H34" authorId="0" shapeId="0" xr:uid="{D75D9953-DEA9-4C0E-AE50-B3E9B37F1836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Feb 21, 22</t>
        </r>
      </text>
    </comment>
    <comment ref="N34" authorId="0" shapeId="0" xr:uid="{77C8A706-0D12-4742-AD64-4B33B6716B1C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May 17,20,21</t>
        </r>
      </text>
    </comment>
    <comment ref="T34" authorId="0" shapeId="0" xr:uid="{6E9F35C2-45EE-4BE6-A0DC-A14037C4D28A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7 8 9</t>
        </r>
      </text>
    </comment>
    <comment ref="P35" authorId="0" shapeId="0" xr:uid="{0029818F-F5F5-4FFB-85B8-E30408A83667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Jun 14</t>
        </r>
      </text>
    </comment>
    <comment ref="T37" authorId="0" shapeId="0" xr:uid="{345DC629-8CFE-4852-90B2-C11D035C3D20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Aug 7, 15</t>
        </r>
      </text>
    </comment>
    <comment ref="R38" authorId="0" shapeId="0" xr:uid="{F1D1C8ED-FD69-4364-8AB4-24EF062E01C1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July 17, 18, 19, 20, 21</t>
        </r>
      </text>
    </comment>
    <comment ref="V38" authorId="0" shapeId="0" xr:uid="{F945D7DB-B1C6-4A40-933F-D5E616487D9C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6 - halfday</t>
        </r>
      </text>
    </comment>
    <comment ref="F40" authorId="0" shapeId="0" xr:uid="{C9A7D9E8-0D34-4929-B293-C7FCABA90039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Jan 2,3,4
</t>
        </r>
      </text>
    </comment>
    <comment ref="J40" authorId="0" shapeId="0" xr:uid="{BA1F6A26-6BCD-495C-9A9F-AD6C0428B105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Mar 1
</t>
        </r>
      </text>
    </comment>
    <comment ref="L40" authorId="0" shapeId="0" xr:uid="{66DF974E-3F38-482F-893E-F4201E9965EC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Aprl 15</t>
        </r>
      </text>
    </comment>
    <comment ref="P40" authorId="0" shapeId="0" xr:uid="{25D4951F-46A3-4B9C-9E45-B6F81E7375BA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Jun 21</t>
        </r>
      </text>
    </comment>
    <comment ref="R40" authorId="0" shapeId="0" xr:uid="{9C6EF833-3849-4313-A7A1-A322CA42DD3A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Jul 3, 5, 11, 12</t>
        </r>
      </text>
    </comment>
    <comment ref="V40" authorId="0" shapeId="0" xr:uid="{688FEA4C-6650-4672-A6DF-367ED28DA3A3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H41" authorId="0" shapeId="0" xr:uid="{EE56B070-9DA7-4A6D-82BA-0645F01215F1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Feb 14</t>
        </r>
      </text>
    </comment>
    <comment ref="P41" authorId="0" shapeId="0" xr:uid="{DA7F8B1F-9774-4E09-8871-70A445BB0FD7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Jun 13
</t>
        </r>
      </text>
    </comment>
    <comment ref="V41" authorId="0" shapeId="0" xr:uid="{D4BC3DFD-DDD5-4267-A593-683435A5221C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10, 11</t>
        </r>
      </text>
    </comment>
    <comment ref="F43" authorId="0" shapeId="0" xr:uid="{33A56E65-AEA2-40FB-B947-F05A1724810B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Jan 2,3,4,5</t>
        </r>
      </text>
    </comment>
    <comment ref="J43" authorId="0" shapeId="0" xr:uid="{4873DEC5-9CAD-4EBE-82ED-06040291C2B6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Mar 7</t>
        </r>
      </text>
    </comment>
    <comment ref="L43" authorId="0" shapeId="0" xr:uid="{74174ACB-9624-42F8-9CE7-0BB160560748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Apr 5</t>
        </r>
      </text>
    </comment>
    <comment ref="P43" authorId="0" shapeId="0" xr:uid="{5597FD66-AF99-4746-A5D4-BDB064EA1E50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Jun 6, 19</t>
        </r>
      </text>
    </comment>
    <comment ref="R43" authorId="0" shapeId="0" xr:uid="{4E6A6729-AE1C-4DB5-9118-2DD207146F96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23 24
</t>
        </r>
      </text>
    </comment>
    <comment ref="V43" authorId="0" shapeId="0" xr:uid="{356B5883-3DB9-4FF5-8816-CAD0BF73CBBE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4</t>
        </r>
      </text>
    </comment>
    <comment ref="H44" authorId="0" shapeId="0" xr:uid="{DA13E104-7D6B-4172-9BA4-3420FABD8136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Feb 12, 13</t>
        </r>
      </text>
    </comment>
    <comment ref="P44" authorId="0" shapeId="0" xr:uid="{8684EB8A-4C66-44AB-9E87-B831482FB7DE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Jun 3, 4 and 5</t>
        </r>
      </text>
    </comment>
    <comment ref="F46" authorId="0" shapeId="0" xr:uid="{61D8615E-83C7-4D91-9CFF-896880CC4686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Jan 2,3,4,5</t>
        </r>
      </text>
    </comment>
    <comment ref="R46" authorId="0" shapeId="0" xr:uid="{24AA41A8-07EF-4BC5-ABE5-22AFA79C3BC8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July 13, 16
24, 25, 26, 27</t>
        </r>
      </text>
    </comment>
    <comment ref="F47" authorId="0" shapeId="0" xr:uid="{EB63C028-55EC-4B5C-AA12-A92E746BF94C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Jan 31</t>
        </r>
      </text>
    </comment>
    <comment ref="J47" authorId="0" shapeId="0" xr:uid="{D031A9DF-8E13-4625-9626-945EDEA08824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Mar 25,26,27</t>
        </r>
      </text>
    </comment>
    <comment ref="R47" authorId="0" shapeId="0" xr:uid="{7CDA135B-CB84-4C10-9949-F9C5511582D4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Jul 5, 23</t>
        </r>
      </text>
    </comment>
    <comment ref="F49" authorId="0" shapeId="0" xr:uid="{62FF052A-DCEF-4267-AD41-0D9CCBE7DEC7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Jan 2, 3, 4, 5</t>
        </r>
      </text>
    </comment>
    <comment ref="N49" authorId="0" shapeId="0" xr:uid="{970D4259-CEF0-4BEF-839B-CEE02A8013A3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May 1</t>
        </r>
      </text>
    </comment>
    <comment ref="P49" authorId="0" shapeId="0" xr:uid="{742F1C32-A038-487F-8C93-19B0C86D45DF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Jun 16</t>
        </r>
      </text>
    </comment>
    <comment ref="V49" authorId="0" shapeId="0" xr:uid="{DE097351-846B-469C-8F40-B84DEAF21E92}">
      <text>
        <r>
          <rPr>
            <b/>
            <sz val="9"/>
            <color indexed="81"/>
            <rFont val="Tahoma"/>
            <family val="2"/>
          </rPr>
          <t>Ian Sarthou:
1, 22, 23</t>
        </r>
      </text>
    </comment>
    <comment ref="H50" authorId="0" shapeId="0" xr:uid="{0CAEDCDE-59AE-419E-9765-41C144F07477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Feb 16
</t>
        </r>
      </text>
    </comment>
    <comment ref="N50" authorId="0" shapeId="0" xr:uid="{29DC5DAA-A033-4C0D-9E8F-BA4A7CD8BF38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May 6, 7, 8</t>
        </r>
      </text>
    </comment>
    <comment ref="F52" authorId="0" shapeId="0" xr:uid="{332797C7-2AB1-47FA-AEBE-88B10E9E2C79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Jan 2
</t>
        </r>
      </text>
    </comment>
    <comment ref="J52" authorId="0" shapeId="0" xr:uid="{68CF877B-8945-48C1-A0A3-4FB2AFCE4AA8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Mar 22</t>
        </r>
      </text>
    </comment>
    <comment ref="P52" authorId="0" shapeId="0" xr:uid="{9040FD22-BF4E-4090-8DA3-85AF92D82D76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Jun 21</t>
        </r>
      </text>
    </comment>
    <comment ref="V52" authorId="0" shapeId="0" xr:uid="{209FD702-CEF9-41B3-8D86-4C5690A298FE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10 and 13</t>
        </r>
      </text>
    </comment>
    <comment ref="H53" authorId="0" shapeId="0" xr:uid="{7886FFE7-37B5-4B6A-8E85-5D498B2E6024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Feb 22</t>
        </r>
      </text>
    </comment>
    <comment ref="N53" authorId="0" shapeId="0" xr:uid="{05F08495-0AAE-4C32-8650-860036AFAE05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May 6</t>
        </r>
      </text>
    </comment>
    <comment ref="T53" authorId="0" shapeId="0" xr:uid="{6ACB76DE-0BFB-43C4-927C-D802FA9733CC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19, 26, 27</t>
        </r>
      </text>
    </comment>
    <comment ref="F55" authorId="0" shapeId="0" xr:uid="{7E4B03F6-37D3-4C1C-8FFF-88F93D8A6EF2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Jan 3,4,5</t>
        </r>
      </text>
    </comment>
    <comment ref="H55" authorId="0" shapeId="0" xr:uid="{DFE3F247-95C3-4DE8-984F-06C754A05107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Feb 27</t>
        </r>
      </text>
    </comment>
    <comment ref="L55" authorId="0" shapeId="0" xr:uid="{814536A9-5951-47D3-908C-498B2B8AD5BB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Apr 12, 19
</t>
        </r>
      </text>
    </comment>
    <comment ref="N55" authorId="0" shapeId="0" xr:uid="{DE085612-4052-4FBE-9882-C429E74F533A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May 23, 30, 31
</t>
        </r>
      </text>
    </comment>
    <comment ref="P55" authorId="0" shapeId="0" xr:uid="{AA743795-DD25-449A-ACCB-97915C517BFC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June 14, June 17 to 21
</t>
        </r>
      </text>
    </comment>
    <comment ref="V55" authorId="0" shapeId="0" xr:uid="{DAE7B3EF-3CB8-458A-B84A-D0C099194EBC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6 and 9</t>
        </r>
      </text>
    </comment>
    <comment ref="H56" authorId="0" shapeId="0" xr:uid="{6BE3A679-0DEC-45DF-B9FC-94608B600C57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Feb 7</t>
        </r>
      </text>
    </comment>
    <comment ref="J56" authorId="0" shapeId="0" xr:uid="{5C386B87-F513-40B8-87DE-959E2536E1B1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Mar 21</t>
        </r>
      </text>
    </comment>
    <comment ref="N56" authorId="0" shapeId="0" xr:uid="{0C6B65F5-8BD1-458A-A5A0-00AB108E21AD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May 8, 13, 14</t>
        </r>
      </text>
    </comment>
    <comment ref="T56" authorId="0" shapeId="0" xr:uid="{795094A8-3F9E-4C7C-A48A-8B42D80F72E0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Aug 20</t>
        </r>
      </text>
    </comment>
    <comment ref="F58" authorId="0" shapeId="0" xr:uid="{C4DB4BED-912B-4D10-A755-FFD24CFE49CA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Jan 8</t>
        </r>
      </text>
    </comment>
    <comment ref="H58" authorId="0" shapeId="0" xr:uid="{D869F411-8F65-4E83-92FD-3FAC1D81CBB5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Feb 16</t>
        </r>
      </text>
    </comment>
    <comment ref="N58" authorId="0" shapeId="0" xr:uid="{8E40FB18-1435-4033-8770-408008181A2D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May 5</t>
        </r>
      </text>
    </comment>
    <comment ref="R58" authorId="0" shapeId="0" xr:uid="{288BEA2F-CD7D-45DE-8BF4-9296E14A4869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July 3 - .5; 
July 9;  
July 11-.5;
July 15 </t>
        </r>
      </text>
    </comment>
    <comment ref="V58" authorId="0" shapeId="0" xr:uid="{B9E42E13-FC18-4E76-994D-D06CB0FF6727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8 and 12 </t>
        </r>
      </text>
    </comment>
    <comment ref="H59" authorId="0" shapeId="0" xr:uid="{059935A7-D909-4056-9673-0AB362FB8A2B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Feb 19 and 20
</t>
        </r>
      </text>
    </comment>
    <comment ref="T59" authorId="0" shapeId="0" xr:uid="{E603FFB0-C092-4FF9-8EEA-4109F4A642A8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Aug 22</t>
        </r>
      </text>
    </comment>
    <comment ref="F61" authorId="0" shapeId="0" xr:uid="{74DF15B6-759A-4B30-9922-2B22830B7B4B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Jan 3, 4, 5</t>
        </r>
      </text>
    </comment>
    <comment ref="V61" authorId="0" shapeId="0" xr:uid="{D8BF384E-60E5-42B8-A1B3-E1FE2632A135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11, 12, 13, 16,17,18,19,20</t>
        </r>
      </text>
    </comment>
    <comment ref="L62" authorId="0" shapeId="0" xr:uid="{9D13E290-5A7E-4674-816B-B192315B4F0A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Aprl 26</t>
        </r>
      </text>
    </comment>
    <comment ref="R62" authorId="0" shapeId="0" xr:uid="{62F8BCE8-A755-4D03-9DAF-1D7A63BF20FA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July 10</t>
        </r>
      </text>
    </comment>
    <comment ref="V62" authorId="0" shapeId="0" xr:uid="{D20A5942-F167-4741-B579-6A3890FD380F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3</t>
        </r>
      </text>
    </comment>
    <comment ref="H64" authorId="0" shapeId="0" xr:uid="{91886B46-56FF-4C96-9D06-D99167BF60FE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Feb 22</t>
        </r>
      </text>
    </comment>
    <comment ref="V64" authorId="0" shapeId="0" xr:uid="{06FFB709-3C31-40C8-B91F-22AD52C098CA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13</t>
        </r>
      </text>
    </comment>
    <comment ref="T65" authorId="0" shapeId="0" xr:uid="{FCD1D0C9-9A61-4DAC-B91B-718F9B75840C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Aug 14</t>
        </r>
      </text>
    </comment>
    <comment ref="H68" authorId="0" shapeId="0" xr:uid="{61A1E1A4-5F53-4FF2-9CE7-CD8E253486A8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Feb 29</t>
        </r>
      </text>
    </comment>
    <comment ref="L68" authorId="0" shapeId="0" xr:uid="{2BBEB147-6332-4FD2-BB62-697E09C84F13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Apr 2
</t>
        </r>
      </text>
    </comment>
    <comment ref="P68" authorId="0" shapeId="0" xr:uid="{C14E1674-45D7-494C-8FC0-56BC6BAD22C5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Jun 13</t>
        </r>
      </text>
    </comment>
    <comment ref="T68" authorId="0" shapeId="0" xr:uid="{A1924255-E997-4D04-9CF3-30E06E374143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Aug 2, 19</t>
        </r>
      </text>
    </comment>
    <comment ref="N70" authorId="0" shapeId="0" xr:uid="{E018ED06-1A1E-4571-9773-0E605FB16807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May 20, 21, 22</t>
        </r>
      </text>
    </comment>
    <comment ref="P70" authorId="0" shapeId="0" xr:uid="{1F1DE097-794A-44D9-97C5-9E43B648013B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Jun 17 and 18</t>
        </r>
      </text>
    </comment>
    <comment ref="R73" authorId="0" shapeId="0" xr:uid="{95B9BBD3-B7FB-4C23-87FE-F5230833343F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Jul 19</t>
        </r>
      </text>
    </comment>
    <comment ref="J74" authorId="0" shapeId="0" xr:uid="{CD805808-F9E1-4806-A915-C9F8959F7063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Mach 4</t>
        </r>
      </text>
    </comment>
    <comment ref="P74" authorId="0" shapeId="0" xr:uid="{066FE9C2-1844-4596-B7E3-721B9E9ABE83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Jun 3</t>
        </r>
      </text>
    </comment>
    <comment ref="R74" authorId="0" shapeId="0" xr:uid="{126BF74A-47B4-4084-97A4-BC098917CAF4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Jul 18</t>
        </r>
      </text>
    </comment>
    <comment ref="T74" authorId="0" shapeId="0" xr:uid="{B16041C0-80C7-4479-85B2-2286D00EAB64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Aug 14</t>
        </r>
      </text>
    </comment>
    <comment ref="H76" authorId="0" shapeId="0" xr:uid="{06087742-2F7F-4E96-8E73-9CAB7B614C25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Feb 14</t>
        </r>
      </text>
    </comment>
    <comment ref="L76" authorId="0" shapeId="0" xr:uid="{8571D698-6F35-403B-B218-970A441731DD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Apr 18, 22</t>
        </r>
      </text>
    </comment>
    <comment ref="P76" authorId="0" shapeId="0" xr:uid="{EB0ED110-B377-4FE0-8146-4826F4928349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Jun 26
</t>
        </r>
      </text>
    </comment>
    <comment ref="R76" authorId="0" shapeId="0" xr:uid="{8D9A74C5-DEEF-4F65-AA6D-77C3EDB35FAA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Jul 1,10, 29
</t>
        </r>
      </text>
    </comment>
    <comment ref="J77" authorId="0" shapeId="0" xr:uid="{53DC84A5-6D8C-4E00-AB16-04F50F820DC9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Mac 14, 15</t>
        </r>
      </text>
    </comment>
    <comment ref="N77" authorId="0" shapeId="0" xr:uid="{A36B38EF-669F-4AB5-AD2B-59FB83613114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May 13, 14</t>
        </r>
      </text>
    </comment>
    <comment ref="L79" authorId="0" shapeId="0" xr:uid="{C7F54526-DB63-4D72-AD9C-B625661D3062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Apr 5</t>
        </r>
      </text>
    </comment>
    <comment ref="R79" authorId="0" shapeId="0" xr:uid="{3B13A765-31D3-4F31-8B7A-4282A19480CF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Jul 19, 23 24</t>
        </r>
      </text>
    </comment>
    <comment ref="V79" authorId="0" shapeId="0" xr:uid="{0FE1ED16-7BAE-4882-B735-4B7BDA04A40B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13</t>
        </r>
      </text>
    </comment>
    <comment ref="N80" authorId="0" shapeId="0" xr:uid="{E33494E1-3867-4F2C-A965-FE3DE83BBA7B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May 7 and 8</t>
        </r>
      </text>
    </comment>
    <comment ref="P80" authorId="0" shapeId="0" xr:uid="{915577E1-E8EE-4690-B97D-9305A6C8D7E7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Jun 3</t>
        </r>
      </text>
    </comment>
    <comment ref="T80" authorId="0" shapeId="0" xr:uid="{6CFFB253-E172-45C3-A016-09268B42CB35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Aug 2</t>
        </r>
      </text>
    </comment>
    <comment ref="P82" authorId="0" shapeId="0" xr:uid="{2AA35851-F1CE-4500-934A-39D4106DF45D}">
      <text>
        <r>
          <rPr>
            <b/>
            <sz val="9"/>
            <color indexed="81"/>
            <rFont val="Tahoma"/>
            <family val="2"/>
          </rPr>
          <t>Ian Sarthou:</t>
        </r>
        <r>
          <rPr>
            <sz val="9"/>
            <color indexed="81"/>
            <rFont val="Tahoma"/>
            <family val="2"/>
          </rPr>
          <t xml:space="preserve">
Jun 19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 Tolomia | Resource Staffing Solutions</author>
  </authors>
  <commentList>
    <comment ref="O20" authorId="0" shapeId="0" xr:uid="{7549B338-EA3C-458E-BCFC-C1B4A27579C6}">
      <text>
        <r>
          <rPr>
            <sz val="9"/>
            <color theme="1"/>
            <rFont val="Calibri"/>
            <family val="2"/>
          </rPr>
          <t>Rica Tolomia | Resource Staffing Solutions:
Half day SL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tc={882B1132-2F7C-4D3C-8633-C71A87581D5C}</author>
    <author>tc={FB753958-BA37-468C-ADBC-1BB293922F0B}</author>
    <author>tc={58C7B2A1-04D7-4527-B712-E5A58B8AD617}</author>
    <author>tc={C7489873-66FA-4C53-9B8D-F2D617E6A05C}</author>
  </authors>
  <commentList>
    <comment ref="A7" authorId="0" shapeId="0" xr:uid="{882B1132-2F7C-4D3C-8633-C71A87581D5C}">
      <text>
        <t>[Threaded comment]
Your version of Excel allows you to read this threaded comment; however, any edits to it will get removed if the file is opened in a newer version of Excel. Learn more: https://go.microsoft.com/fwlink/?linkid=870924
Comment:
    May 12 - VL</t>
      </text>
    </comment>
    <comment ref="A9" authorId="1" shapeId="0" xr:uid="{FB753958-BA37-468C-ADBC-1BB293922F0B}">
      <text>
        <t>[Threaded comment]
Your version of Excel allows you to read this threaded comment; however, any edits to it will get removed if the file is opened in a newer version of Excel. Learn more: https://go.microsoft.com/fwlink/?linkid=870924
Comment:
    Less 4 days</t>
      </text>
    </comment>
    <comment ref="I16" authorId="2" shapeId="0" xr:uid="{58C7B2A1-04D7-4527-B712-E5A58B8AD617}">
      <text>
        <t>[Threaded comment]
Your version of Excel allows you to read this threaded comment; however, any edits to it will get removed if the file is opened in a newer version of Excel. Learn more: https://go.microsoft.com/fwlink/?linkid=870924
Comment:
    AU Holiday</t>
      </text>
    </comment>
    <comment ref="A21" authorId="3" shapeId="0" xr:uid="{C7489873-66FA-4C53-9B8D-F2D617E6A05C}">
      <text>
        <t>[Threaded comment]
Your version of Excel allows you to read this threaded comment; however, any edits to it will get removed if the file is opened in a newer version of Excel. Learn more: https://go.microsoft.com/fwlink/?linkid=870924
Comment:
    VL - May 12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tc={6EBA624A-033D-476A-BC41-777BB6158193}</author>
    <author>tc={8A60B0B2-3917-4447-85E3-732124135072}</author>
    <author>tc={D7EEFF56-450A-4F07-BEC9-0818A728A1C8}</author>
    <author>tc={BAD0605C-107B-45B5-81AC-D385D66194BB}</author>
  </authors>
  <commentList>
    <comment ref="A7" authorId="0" shapeId="0" xr:uid="{6EBA624A-033D-476A-BC41-777BB6158193}">
      <text>
        <t>[Threaded comment]
Your version of Excel allows you to read this threaded comment; however, any edits to it will get removed if the file is opened in a newer version of Excel. Learn more: https://go.microsoft.com/fwlink/?linkid=870924
Comment:
    May 12 - VL</t>
      </text>
    </comment>
    <comment ref="A9" authorId="1" shapeId="0" xr:uid="{8A60B0B2-3917-4447-85E3-732124135072}">
      <text>
        <t>[Threaded comment]
Your version of Excel allows you to read this threaded comment; however, any edits to it will get removed if the file is opened in a newer version of Excel. Learn more: https://go.microsoft.com/fwlink/?linkid=870924
Comment:
    Less 4 days</t>
      </text>
    </comment>
    <comment ref="A23" authorId="2" shapeId="0" xr:uid="{D7EEFF56-450A-4F07-BEC9-0818A728A1C8}">
      <text>
        <t>[Threaded comment]
Your version of Excel allows you to read this threaded comment; however, any edits to it will get removed if the file is opened in a newer version of Excel. Learn more: https://go.microsoft.com/fwlink/?linkid=870924
Comment:
    VL - May 12</t>
      </text>
    </comment>
    <comment ref="X49" authorId="3" shapeId="0" xr:uid="{BAD0605C-107B-45B5-81AC-D385D66194BB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checking SL credits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tc={9629917D-5698-4810-8665-5DC438E90BE8}</author>
    <author>tc={EDA23C85-8E3A-46B7-B2EB-D52620AC0067}</author>
    <author>tc={25BDFF77-F061-4E78-B3D5-559E987D00FE}</author>
    <author>tc={6659F815-49F4-4C4F-97D8-A7FB7A6C6445}</author>
  </authors>
  <commentList>
    <comment ref="A7" authorId="0" shapeId="0" xr:uid="{9629917D-5698-4810-8665-5DC438E90BE8}">
      <text>
        <t>[Threaded comment]
Your version of Excel allows you to read this threaded comment; however, any edits to it will get removed if the file is opened in a newer version of Excel. Learn more: https://go.microsoft.com/fwlink/?linkid=870924
Comment:
    May 12 - VL</t>
      </text>
    </comment>
    <comment ref="A9" authorId="1" shapeId="0" xr:uid="{EDA23C85-8E3A-46B7-B2EB-D52620AC0067}">
      <text>
        <t>[Threaded comment]
Your version of Excel allows you to read this threaded comment; however, any edits to it will get removed if the file is opened in a newer version of Excel. Learn more: https://go.microsoft.com/fwlink/?linkid=870924
Comment:
    Less 4 days</t>
      </text>
    </comment>
    <comment ref="A23" authorId="2" shapeId="0" xr:uid="{25BDFF77-F061-4E78-B3D5-559E987D00FE}">
      <text>
        <t>[Threaded comment]
Your version of Excel allows you to read this threaded comment; however, any edits to it will get removed if the file is opened in a newer version of Excel. Learn more: https://go.microsoft.com/fwlink/?linkid=870924
Comment:
    VL - May 12</t>
      </text>
    </comment>
    <comment ref="X47" authorId="3" shapeId="0" xr:uid="{6659F815-49F4-4C4F-97D8-A7FB7A6C6445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checking SL credits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tc={D4DBC4D2-FB6A-40A1-93E7-7C734DB853EB}</author>
    <author>tc={092E3C0C-CC0C-47A8-9FE5-76113EEE07F0}</author>
    <author>tc={C7AD6533-4858-42ED-9B04-3C8E230F45CC}</author>
  </authors>
  <commentList>
    <comment ref="A7" authorId="0" shapeId="0" xr:uid="{D4DBC4D2-FB6A-40A1-93E7-7C734DB853EB}">
      <text>
        <t>[Threaded comment]
Your version of Excel allows you to read this threaded comment; however, any edits to it will get removed if the file is opened in a newer version of Excel. Learn more: https://go.microsoft.com/fwlink/?linkid=870924
Comment:
    May 12 - VL</t>
      </text>
    </comment>
    <comment ref="A9" authorId="1" shapeId="0" xr:uid="{092E3C0C-CC0C-47A8-9FE5-76113EEE07F0}">
      <text>
        <t>[Threaded comment]
Your version of Excel allows you to read this threaded comment; however, any edits to it will get removed if the file is opened in a newer version of Excel. Learn more: https://go.microsoft.com/fwlink/?linkid=870924
Comment:
    Less 4 days</t>
      </text>
    </comment>
    <comment ref="A23" authorId="2" shapeId="0" xr:uid="{C7AD6533-4858-42ED-9B04-3C8E230F45CC}">
      <text>
        <t>[Threaded comment]
Your version of Excel allows you to read this threaded comment; however, any edits to it will get removed if the file is opened in a newer version of Excel. Learn more: https://go.microsoft.com/fwlink/?linkid=870924
Comment:
    VL - May 12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tc={4C20DB77-5C69-4026-AF65-ED1234BBAC9B}</author>
    <author>tc={E680573C-EC9A-4EC0-9D70-149D5C6DA681}</author>
    <author>tc={36ADB802-4DF2-48B9-B891-07FEBF6391D4}</author>
    <author>tc={FCC194B7-2217-4007-9D8A-FDD83B8E9C89}</author>
  </authors>
  <commentList>
    <comment ref="A8" authorId="0" shapeId="0" xr:uid="{4C20DB77-5C69-4026-AF65-ED1234BBAC9B}">
      <text>
        <t>[Threaded comment]
Your version of Excel allows you to read this threaded comment; however, any edits to it will get removed if the file is opened in a newer version of Excel. Learn more: https://go.microsoft.com/fwlink/?linkid=870924
Comment:
    May 12 - VL</t>
      </text>
    </comment>
    <comment ref="A10" authorId="1" shapeId="0" xr:uid="{E680573C-EC9A-4EC0-9D70-149D5C6DA681}">
      <text>
        <t>[Threaded comment]
Your version of Excel allows you to read this threaded comment; however, any edits to it will get removed if the file is opened in a newer version of Excel. Learn more: https://go.microsoft.com/fwlink/?linkid=870924
Comment:
    Less 4 days</t>
      </text>
    </comment>
    <comment ref="B18" authorId="2" shapeId="0" xr:uid="{36ADB802-4DF2-48B9-B891-07FEBF6391D4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6.5</t>
      </text>
    </comment>
    <comment ref="A25" authorId="3" shapeId="0" xr:uid="{FCC194B7-2217-4007-9D8A-FDD83B8E9C89}">
      <text>
        <t>[Threaded comment]
Your version of Excel allows you to read this threaded comment; however, any edits to it will get removed if the file is opened in a newer version of Excel. Learn more: https://go.microsoft.com/fwlink/?linkid=870924
Comment:
    VL - May 12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tc={A4219A27-9C44-4DEB-B637-76EE192287ED}</author>
    <author>tc={AF603A44-2021-42D8-BE72-8F05D4455FF3}</author>
    <author>tc={280FB8F3-C9B9-4776-BFA4-80A26BAA19E2}</author>
    <author>tc={7D0D8C51-BCC5-41AF-8C71-0CC3118EF670}</author>
    <author>tc={02F84979-E830-4127-9224-6655AFB78635}</author>
    <author>tc={321F8065-4F15-492A-A4D9-57737030945A}</author>
    <author>tc={9F3C2BAC-AE8C-496F-A8F6-F4DB31412D2F}</author>
    <author>tc={4D01B363-20E4-4752-9870-AF30FF1208B8}</author>
  </authors>
  <commentList>
    <comment ref="A8" authorId="0" shapeId="0" xr:uid="{A4219A27-9C44-4DEB-B637-76EE192287ED}">
      <text>
        <t>[Threaded comment]
Your version of Excel allows you to read this threaded comment; however, any edits to it will get removed if the file is opened in a newer version of Excel. Learn more: https://go.microsoft.com/fwlink/?linkid=870924
Comment:
    May 12 - VL</t>
      </text>
    </comment>
    <comment ref="A11" authorId="1" shapeId="0" xr:uid="{AF603A44-2021-42D8-BE72-8F05D4455FF3}">
      <text>
        <t>[Threaded comment]
Your version of Excel allows you to read this threaded comment; however, any edits to it will get removed if the file is opened in a newer version of Excel. Learn more: https://go.microsoft.com/fwlink/?linkid=870924
Comment:
    Less 4 days</t>
      </text>
    </comment>
    <comment ref="B19" authorId="2" shapeId="0" xr:uid="{280FB8F3-C9B9-4776-BFA4-80A26BAA19E2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6.5</t>
      </text>
    </comment>
    <comment ref="A26" authorId="3" shapeId="0" xr:uid="{7D0D8C51-BCC5-41AF-8C71-0CC3118EF670}">
      <text>
        <t>[Threaded comment]
Your version of Excel allows you to read this threaded comment; however, any edits to it will get removed if the file is opened in a newer version of Excel. Learn more: https://go.microsoft.com/fwlink/?linkid=870924
Comment:
    VL - May 12</t>
      </text>
    </comment>
    <comment ref="AH35" authorId="4" shapeId="0" xr:uid="{02F84979-E830-4127-9224-6655AFB78635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- 6PM</t>
      </text>
    </comment>
    <comment ref="AH42" authorId="5" shapeId="0" xr:uid="{321F8065-4F15-492A-A4D9-57737030945A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- 6PM</t>
      </text>
    </comment>
    <comment ref="AH56" authorId="6" shapeId="0" xr:uid="{9F3C2BAC-AE8C-496F-A8F6-F4DB31412D2F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- 3PM</t>
      </text>
    </comment>
    <comment ref="AH62" authorId="7" shapeId="0" xr:uid="{4D01B363-20E4-4752-9870-AF30FF1208B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- 6PM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tc={C3CEE26D-1765-446E-8ECF-602DF0865E78}</author>
    <author>tc={9C4593AB-1E5D-4E76-8890-2BBD24352DD9}</author>
    <author>tc={0112843E-9A70-4DAE-AC80-2D13F8C23C2E}</author>
    <author>tc={8368421A-49E0-4A70-9C71-FE4455102576}</author>
  </authors>
  <commentList>
    <comment ref="A9" authorId="0" shapeId="0" xr:uid="{C3CEE26D-1765-446E-8ECF-602DF0865E78}">
      <text>
        <t>[Threaded comment]
Your version of Excel allows you to read this threaded comment; however, any edits to it will get removed if the file is opened in a newer version of Excel. Learn more: https://go.microsoft.com/fwlink/?linkid=870924
Comment:
    May 12 - VL</t>
      </text>
    </comment>
    <comment ref="A12" authorId="1" shapeId="0" xr:uid="{9C4593AB-1E5D-4E76-8890-2BBD24352DD9}">
      <text>
        <t>[Threaded comment]
Your version of Excel allows you to read this threaded comment; however, any edits to it will get removed if the file is opened in a newer version of Excel. Learn more: https://go.microsoft.com/fwlink/?linkid=870924
Comment:
    Less 4 days</t>
      </text>
    </comment>
    <comment ref="B21" authorId="2" shapeId="0" xr:uid="{0112843E-9A70-4DAE-AC80-2D13F8C23C2E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6.5</t>
      </text>
    </comment>
    <comment ref="A28" authorId="3" shapeId="0" xr:uid="{8368421A-49E0-4A70-9C71-FE4455102576}">
      <text>
        <t>[Threaded comment]
Your version of Excel allows you to read this threaded comment; however, any edits to it will get removed if the file is opened in a newer version of Excel. Learn more: https://go.microsoft.com/fwlink/?linkid=870924
Comment:
    VL - May 12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tc={1A99B57F-A0F5-4848-832C-A0670DCBADBB}</author>
    <author>tc={DA0B0ED5-1DD7-4299-8268-2300B6F680A6}</author>
    <author>tc={FD378459-D26F-449D-9729-B32AE60D3A71}</author>
    <author>tc={7209948C-0896-446B-B7F2-77371BE9EBB4}</author>
  </authors>
  <commentList>
    <comment ref="A9" authorId="0" shapeId="0" xr:uid="{1A99B57F-A0F5-4848-832C-A0670DCBADBB}">
      <text>
        <t>[Threaded comment]
Your version of Excel allows you to read this threaded comment; however, any edits to it will get removed if the file is opened in a newer version of Excel. Learn more: https://go.microsoft.com/fwlink/?linkid=870924
Comment:
    May 12 - VL</t>
      </text>
    </comment>
    <comment ref="A12" authorId="1" shapeId="0" xr:uid="{DA0B0ED5-1DD7-4299-8268-2300B6F680A6}">
      <text>
        <t>[Threaded comment]
Your version of Excel allows you to read this threaded comment; however, any edits to it will get removed if the file is opened in a newer version of Excel. Learn more: https://go.microsoft.com/fwlink/?linkid=870924
Comment:
    Less 4 days</t>
      </text>
    </comment>
    <comment ref="B21" authorId="2" shapeId="0" xr:uid="{FD378459-D26F-449D-9729-B32AE60D3A71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6.5</t>
      </text>
    </comment>
    <comment ref="A28" authorId="3" shapeId="0" xr:uid="{7209948C-0896-446B-B7F2-77371BE9EBB4}">
      <text>
        <t>[Threaded comment]
Your version of Excel allows you to read this threaded comment; however, any edits to it will get removed if the file is opened in a newer version of Excel. Learn more: https://go.microsoft.com/fwlink/?linkid=870924
Comment:
    VL - May 12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tc={738DB168-ACF7-43A8-A830-C7866C524073}</author>
    <author>tc={3AA9552B-F5C9-4A15-B7B3-BD91F5B11C74}</author>
    <author>tc={D67E09D7-D4D5-4750-918C-F1F06D509FEE}</author>
    <author>tc={C2356562-64BF-4BB6-8CE0-9B949FF70E1E}</author>
  </authors>
  <commentList>
    <comment ref="A10" authorId="0" shapeId="0" xr:uid="{738DB168-ACF7-43A8-A830-C7866C524073}">
      <text>
        <t>[Threaded comment]
Your version of Excel allows you to read this threaded comment; however, any edits to it will get removed if the file is opened in a newer version of Excel. Learn more: https://go.microsoft.com/fwlink/?linkid=870924
Comment:
    May 12 - VL</t>
      </text>
    </comment>
    <comment ref="A13" authorId="1" shapeId="0" xr:uid="{3AA9552B-F5C9-4A15-B7B3-BD91F5B11C74}">
      <text>
        <t>[Threaded comment]
Your version of Excel allows you to read this threaded comment; however, any edits to it will get removed if the file is opened in a newer version of Excel. Learn more: https://go.microsoft.com/fwlink/?linkid=870924
Comment:
    Less 4 days</t>
      </text>
    </comment>
    <comment ref="B23" authorId="2" shapeId="0" xr:uid="{D67E09D7-D4D5-4750-918C-F1F06D509FEE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6.5</t>
      </text>
    </comment>
    <comment ref="A32" authorId="3" shapeId="0" xr:uid="{C2356562-64BF-4BB6-8CE0-9B949FF70E1E}">
      <text>
        <t>[Threaded comment]
Your version of Excel allows you to read this threaded comment; however, any edits to it will get removed if the file is opened in a newer version of Excel. Learn more: https://go.microsoft.com/fwlink/?linkid=870924
Comment:
    VL - May 12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tc={88E44E36-2903-46CF-B4A4-C78E9E3A905C}</author>
    <author>tc={A4C3B35F-AB8C-466D-81B8-94748F38B84D}</author>
    <author>tc={41B8D5EB-1936-45C0-A40A-4E61D82E0477}</author>
    <author>tc={FC8ADB90-D084-4845-B851-83FF7A0C443E}</author>
    <author>tc={0626515A-D2C9-4019-9EF8-6F2806AB27CF}</author>
    <author>tc={EF930DC5-3795-44F8-B444-C14B11FB19C2}</author>
    <author>tc={D5DC3B85-96B5-41C6-99B9-A39AE8700ED6}</author>
    <author>tc={2AA355BC-70F4-4820-8F57-42D6DFB75CA6}</author>
    <author>tc={136A999C-4D03-4A15-8197-85516A80F72C}</author>
    <author>tc={82F39D33-947D-4EEC-B00F-71FD42FCEDAD}</author>
    <author>tc={2723D4B0-62C5-4D5A-AF88-2EC684223DB6}</author>
    <author>tc={902B4B57-EFD7-4351-B56B-38BF83357AEB}</author>
    <author>tc={4B67079F-FBE2-4A24-B994-BD18CB0430D4}</author>
    <author>tc={D9BDAD7F-49B9-49E7-9FDD-0D542299379E}</author>
    <author>tc={85E97F22-A4B4-4940-BC99-ACE6A4BFBE25}</author>
    <author>tc={13741C04-AD8A-4ACD-9504-4D6FFE52DEBF}</author>
    <author>tc={7AD0A13E-337E-40A9-940C-FAFE6F644538}</author>
    <author>tc={932E9A67-8AE0-495A-8665-0E60A8358B20}</author>
    <author>tc={4ECBFB10-B048-4026-B44B-F18286C7937C}</author>
    <author>tc={8E899FD4-9965-4EE8-B335-3BE1460417C9}</author>
    <author>tc={7CCE3839-388A-40E5-A986-76F86464EE3B}</author>
    <author>tc={962936CD-5548-4243-B16A-97B3560A5D1C}</author>
    <author>tc={85F767EC-85D8-47F2-A53B-9D3E40D30881}</author>
    <author>tc={6DC3884C-281F-4F2E-91FF-8315543702B6}</author>
    <author>tc={820A62AD-E17F-47FC-82DB-99B95DF5CCD3}</author>
    <author>tc={938678F8-8340-4361-A58E-ABD630FC67EB}</author>
    <author>tc={53619052-D6F3-468F-97AF-554DF478541B}</author>
    <author>tc={F3F70A54-7995-48BE-9FCE-8A4F2B028D4D}</author>
    <author>tc={0978DE56-AAD8-4101-90DD-937462498DBD}</author>
    <author>tc={F3B9BC0C-921B-4C8D-997B-D1286E864857}</author>
    <author>tc={802D5729-FF1A-46CB-A186-128062A0E59F}</author>
    <author>tc={C10BACA2-D441-4F2B-A42B-7EBDBA8A50B0}</author>
    <author>tc={1C99D6B9-E780-4FFF-83EE-2C2C02926BBA}</author>
    <author>tc={5CCE6D72-F9DF-4DBF-BCBD-462BF6CD8B5F}</author>
    <author>tc={76144222-E367-49CA-8AC2-155958634366}</author>
    <author>tc={8459CDDA-2E2D-473E-BF27-680AB31A0D1B}</author>
    <author>tc={17A9229F-7781-4D82-A364-A8C0B5D23E0E}</author>
    <author>tc={4F18338A-63AD-459A-A613-0702C1B47C60}</author>
    <author>tc={A3923F97-86DE-4BB1-BF7A-9BA88B356EDE}</author>
    <author>tc={DC0A3D74-0324-44B2-AC4F-BEE5D64457DF}</author>
    <author>tc={5E4B3C3F-4479-4775-A7CF-E3A8EE0A6732}</author>
    <author>tc={20A6368D-9CEB-42F0-BAF3-D5130BD00BEB}</author>
    <author>tc={AC5A2739-F38D-437A-B065-08D936B8B222}</author>
    <author>tc={F8994BD0-8DB5-4281-A862-22DDDA320AD0}</author>
    <author>tc={7F8EBF58-57B7-472A-8D73-075CE571D638}</author>
    <author>tc={D533FD64-2C92-4D7A-8827-91A205B07D85}</author>
    <author>tc={69654EE3-F229-42F1-8A80-80EF6EB99182}</author>
    <author>tc={1DE6A760-1042-429D-99DB-4FFA594AB80C}</author>
    <author>tc={DA4ED330-A56C-4792-BF76-B2073BF2CF7E}</author>
    <author>tc={23C13B3E-9093-4A23-A3E7-DC7C4D4A66EB}</author>
  </authors>
  <commentList>
    <comment ref="E3" authorId="0" shapeId="0" xr:uid="{88E44E36-2903-46CF-B4A4-C78E9E3A905C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2</t>
      </text>
    </comment>
    <comment ref="F3" authorId="1" shapeId="0" xr:uid="{A4C3B35F-AB8C-466D-81B8-94748F38B84D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3</t>
      </text>
    </comment>
    <comment ref="G3" authorId="2" shapeId="0" xr:uid="{41B8D5EB-1936-45C0-A40A-4E61D82E0477}">
      <text>
        <t>[Threaded comment]
Your version of Excel allows you to read this threaded comment; however, any edits to it will get removed if the file is opened in a newer version of Excel. Learn more: https://go.microsoft.com/fwlink/?linkid=870924
Comment:
    March 27</t>
      </text>
    </comment>
    <comment ref="H3" authorId="3" shapeId="0" xr:uid="{FC8ADB90-D084-4845-B851-83FF7A0C443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March 28
</t>
      </text>
    </comment>
    <comment ref="E5" authorId="4" shapeId="0" xr:uid="{0626515A-D2C9-4019-9EF8-6F2806AB27CF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2</t>
      </text>
    </comment>
    <comment ref="E6" authorId="5" shapeId="0" xr:uid="{EF930DC5-3795-44F8-B444-C14B11FB19C2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2</t>
      </text>
    </comment>
    <comment ref="E9" authorId="6" shapeId="0" xr:uid="{D5DC3B85-96B5-41C6-99B9-A39AE8700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Jan 2
</t>
      </text>
    </comment>
    <comment ref="E10" authorId="7" shapeId="0" xr:uid="{2AA355BC-70F4-4820-8F57-42D6DFB75CA6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2</t>
      </text>
    </comment>
    <comment ref="A11" authorId="8" shapeId="0" xr:uid="{136A999C-4D03-4A15-8197-85516A80F72C}">
      <text>
        <t>[Threaded comment]
Your version of Excel allows you to read this threaded comment; however, any edits to it will get removed if the file is opened in a newer version of Excel. Learn more: https://go.microsoft.com/fwlink/?linkid=870924
Comment:
    May 12 - VL</t>
      </text>
    </comment>
    <comment ref="E11" authorId="9" shapeId="0" xr:uid="{82F39D33-947D-4EEC-B00F-71FD42FCEDAD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12</t>
      </text>
    </comment>
    <comment ref="F11" authorId="10" shapeId="0" xr:uid="{2723D4B0-62C5-4D5A-AF88-2EC684223DB6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13</t>
      </text>
    </comment>
    <comment ref="G11" authorId="11" shapeId="0" xr:uid="{902B4B57-EFD7-4351-B56B-38BF83357AEB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14</t>
      </text>
    </comment>
    <comment ref="H11" authorId="12" shapeId="0" xr:uid="{4B67079F-FBE2-4A24-B994-BD18CB0430D4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15</t>
      </text>
    </comment>
    <comment ref="I11" authorId="13" shapeId="0" xr:uid="{D9BDAD7F-49B9-49E7-9FDD-0D542299379E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19</t>
      </text>
    </comment>
    <comment ref="J11" authorId="14" shapeId="0" xr:uid="{85E97F22-A4B4-4940-BC99-ACE6A4BFBE25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20</t>
      </text>
    </comment>
    <comment ref="A14" authorId="15" shapeId="0" xr:uid="{13741C04-AD8A-4ACD-9504-4D6FFE52DEBF}">
      <text>
        <t>[Threaded comment]
Your version of Excel allows you to read this threaded comment; however, any edits to it will get removed if the file is opened in a newer version of Excel. Learn more: https://go.microsoft.com/fwlink/?linkid=870924
Comment:
    Less 4 days</t>
      </text>
    </comment>
    <comment ref="E15" authorId="16" shapeId="0" xr:uid="{7AD0A13E-337E-40A9-940C-FAFE6F644538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2</t>
      </text>
    </comment>
    <comment ref="E16" authorId="17" shapeId="0" xr:uid="{932E9A67-8AE0-495A-8665-0E60A8358B20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2</t>
      </text>
    </comment>
    <comment ref="F16" authorId="18" shapeId="0" xr:uid="{4ECBFB10-B048-4026-B44B-F18286C7937C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5</t>
      </text>
    </comment>
    <comment ref="E17" authorId="19" shapeId="0" xr:uid="{8E899FD4-9965-4EE8-B335-3BE1460417C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Jan 2 </t>
      </text>
    </comment>
    <comment ref="E19" authorId="20" shapeId="0" xr:uid="{7CCE3839-388A-40E5-A986-76F86464EE3B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14</t>
      </text>
    </comment>
    <comment ref="F19" authorId="21" shapeId="0" xr:uid="{962936CD-5548-4243-B16A-97B3560A5D1C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15</t>
      </text>
    </comment>
    <comment ref="E20" authorId="22" shapeId="0" xr:uid="{85F767EC-85D8-47F2-A53B-9D3E40D30881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2</t>
      </text>
    </comment>
    <comment ref="E27" authorId="23" shapeId="0" xr:uid="{6DC3884C-281F-4F2E-91FF-8315543702B6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4</t>
      </text>
    </comment>
    <comment ref="E30" authorId="24" shapeId="0" xr:uid="{820A62AD-E17F-47FC-82DB-99B95DF5CCD3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2</t>
      </text>
    </comment>
    <comment ref="F30" authorId="25" shapeId="0" xr:uid="{938678F8-8340-4361-A58E-ABD630FC67EB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19</t>
      </text>
    </comment>
    <comment ref="G30" authorId="26" shapeId="0" xr:uid="{53619052-D6F3-468F-97AF-554DF478541B}">
      <text>
        <t>[Threaded comment]
Your version of Excel allows you to read this threaded comment; however, any edits to it will get removed if the file is opened in a newer version of Excel. Learn more: https://go.microsoft.com/fwlink/?linkid=870924
Comment:
    May 27</t>
      </text>
    </comment>
    <comment ref="H30" authorId="27" shapeId="0" xr:uid="{F3F70A54-7995-48BE-9FCE-8A4F2B028D4D}">
      <text>
        <t>[Threaded comment]
Your version of Excel allows you to read this threaded comment; however, any edits to it will get removed if the file is opened in a newer version of Excel. Learn more: https://go.microsoft.com/fwlink/?linkid=870924
Comment:
    May 28</t>
      </text>
    </comment>
    <comment ref="I30" authorId="28" shapeId="0" xr:uid="{0978DE56-AAD8-4101-90DD-937462498DBD}">
      <text>
        <t>[Threaded comment]
Your version of Excel allows you to read this threaded comment; however, any edits to it will get removed if the file is opened in a newer version of Excel. Learn more: https://go.microsoft.com/fwlink/?linkid=870924
Comment:
    May 29</t>
      </text>
    </comment>
    <comment ref="A32" authorId="29" shapeId="0" xr:uid="{F3B9BC0C-921B-4C8D-997B-D1286E864857}">
      <text>
        <t>[Threaded comment]
Your version of Excel allows you to read this threaded comment; however, any edits to it will get removed if the file is opened in a newer version of Excel. Learn more: https://go.microsoft.com/fwlink/?linkid=870924
Comment:
    VL - May 12</t>
      </text>
    </comment>
    <comment ref="E35" authorId="30" shapeId="0" xr:uid="{802D5729-FF1A-46CB-A186-128062A0E59F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2</t>
      </text>
    </comment>
    <comment ref="E40" authorId="31" shapeId="0" xr:uid="{C10BACA2-D441-4F2B-A42B-7EBDBA8A50B0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2</t>
      </text>
    </comment>
    <comment ref="E42" authorId="32" shapeId="0" xr:uid="{1C99D6B9-E780-4FFF-83EE-2C2C02926BBA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2</t>
      </text>
    </comment>
    <comment ref="E46" authorId="33" shapeId="0" xr:uid="{5CCE6D72-F9DF-4DBF-BCBD-462BF6CD8B5F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2</t>
      </text>
    </comment>
    <comment ref="F46" authorId="34" shapeId="0" xr:uid="{76144222-E367-49CA-8AC2-155958634366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5 - 9</t>
      </text>
    </comment>
    <comment ref="E47" authorId="35" shapeId="0" xr:uid="{8459CDDA-2E2D-473E-BF27-680AB31A0D1B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2</t>
      </text>
    </comment>
    <comment ref="F47" authorId="36" shapeId="0" xr:uid="{17A9229F-7781-4D82-A364-A8C0B5D23E0E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6</t>
      </text>
    </comment>
    <comment ref="E49" authorId="37" shapeId="0" xr:uid="{4F18338A-63AD-459A-A613-0702C1B47C60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11 - 14</t>
      </text>
    </comment>
    <comment ref="I49" authorId="38" shapeId="0" xr:uid="{A3923F97-86DE-4BB1-BF7A-9BA88B356EDE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25</t>
      </text>
    </comment>
    <comment ref="E51" authorId="39" shapeId="0" xr:uid="{DC0A3D74-0324-44B2-AC4F-BEE5D64457DF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2 - 3</t>
      </text>
    </comment>
    <comment ref="E54" authorId="40" shapeId="0" xr:uid="{5E4B3C3F-4479-4775-A7CF-E3A8EE0A6732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2</t>
      </text>
    </comment>
    <comment ref="E55" authorId="41" shapeId="0" xr:uid="{20A6368D-9CEB-42F0-BAF3-D5130BD00BEB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2</t>
      </text>
    </comment>
    <comment ref="E59" authorId="42" shapeId="0" xr:uid="{AC5A2739-F38D-437A-B065-08D936B8B222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2</t>
      </text>
    </comment>
    <comment ref="E60" authorId="43" shapeId="0" xr:uid="{F8994BD0-8DB5-4281-A862-22DDDA320AD0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2</t>
      </text>
    </comment>
    <comment ref="F60" authorId="44" shapeId="0" xr:uid="{7F8EBF58-57B7-472A-8D73-075CE571D638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5</t>
      </text>
    </comment>
    <comment ref="G60" authorId="45" shapeId="0" xr:uid="{D533FD64-2C92-4D7A-8827-91A205B07D85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6</t>
      </text>
    </comment>
    <comment ref="E62" authorId="46" shapeId="0" xr:uid="{69654EE3-F229-42F1-8A80-80EF6EB99182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2</t>
      </text>
    </comment>
    <comment ref="E64" authorId="47" shapeId="0" xr:uid="{1DE6A760-1042-429D-99DB-4FFA594AB80C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2</t>
      </text>
    </comment>
    <comment ref="E65" authorId="48" shapeId="0" xr:uid="{DA4ED330-A56C-4792-BF76-B2073BF2CF7E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2</t>
      </text>
    </comment>
    <comment ref="F65" authorId="49" shapeId="0" xr:uid="{23C13B3E-9093-4A23-A3E7-DC7C4D4A66EB}">
      <text>
        <t>[Threaded comment]
Your version of Excel allows you to read this threaded comment; however, any edits to it will get removed if the file is opened in a newer version of Excel. Learn more: https://go.microsoft.com/fwlink/?linkid=870924
Comment:
    Feb 27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tc={6EB46AA4-0636-46C7-A7F3-E71DFF9F2852}</author>
  </authors>
  <commentList>
    <comment ref="A19" authorId="0" shapeId="0" xr:uid="{6EB46AA4-0636-46C7-A7F3-E71DFF9F2852}">
      <text>
        <t>[Threaded comment]
Your version of Excel allows you to read this threaded comment; however, any edits to it will get removed if the file is opened in a newer version of Excel. Learn more: https://go.microsoft.com/fwlink/?linkid=870924
Comment:
    10 Loaned leave credits</t>
      </text>
    </comment>
  </commentList>
</comments>
</file>

<file path=xl/sharedStrings.xml><?xml version="1.0" encoding="utf-8"?>
<sst xmlns="http://schemas.openxmlformats.org/spreadsheetml/2006/main" count="3561" uniqueCount="397">
  <si>
    <t>PELOZDEN RSS INC.</t>
  </si>
  <si>
    <t>ID NO.</t>
  </si>
  <si>
    <t>LAST NAME</t>
  </si>
  <si>
    <t>FIRST NAME</t>
  </si>
  <si>
    <t>MIDDLE NAME</t>
  </si>
  <si>
    <t>DATE HIRED</t>
  </si>
  <si>
    <t>Regularization date</t>
  </si>
  <si>
    <t>EMPLOYMENT STATUS</t>
  </si>
  <si>
    <t>Sick Leave</t>
  </si>
  <si>
    <t>Vacation Leave</t>
  </si>
  <si>
    <t>Service Incentive Leave</t>
  </si>
  <si>
    <t>Available Sick Leave</t>
  </si>
  <si>
    <t>Available Vacation Leave</t>
  </si>
  <si>
    <t>Available Service Incentive Leave</t>
  </si>
  <si>
    <t>0008</t>
  </si>
  <si>
    <t>ANTONIO</t>
  </si>
  <si>
    <t>VINCENT KEVIN</t>
  </si>
  <si>
    <t>SANTOS</t>
  </si>
  <si>
    <t>REGULAR</t>
  </si>
  <si>
    <t>0011</t>
  </si>
  <si>
    <t>DELA CRUZ</t>
  </si>
  <si>
    <t>SHAINA</t>
  </si>
  <si>
    <t>DIMAYUGO</t>
  </si>
  <si>
    <t>0015</t>
  </si>
  <si>
    <t>JOSAFAT</t>
  </si>
  <si>
    <t>RENALYN</t>
  </si>
  <si>
    <t>ABAMO</t>
  </si>
  <si>
    <t>0013</t>
  </si>
  <si>
    <t>GALGO</t>
  </si>
  <si>
    <t>CEDRICK</t>
  </si>
  <si>
    <t>CRUZ</t>
  </si>
  <si>
    <t>0018</t>
  </si>
  <si>
    <t>OTSUKA</t>
  </si>
  <si>
    <t>SHIGERU</t>
  </si>
  <si>
    <t>CENTINA</t>
  </si>
  <si>
    <t>0007</t>
  </si>
  <si>
    <t>ALIMURONG</t>
  </si>
  <si>
    <t>JOEL</t>
  </si>
  <si>
    <t>LUSUNG</t>
  </si>
  <si>
    <t>0012</t>
  </si>
  <si>
    <t>FERNANDEZ</t>
  </si>
  <si>
    <t>FRANCIS EMMANUEL</t>
  </si>
  <si>
    <t>VELOSO</t>
  </si>
  <si>
    <t>0009</t>
  </si>
  <si>
    <t>CASTRO</t>
  </si>
  <si>
    <t>AIZEL</t>
  </si>
  <si>
    <t>0010</t>
  </si>
  <si>
    <t>COLIS</t>
  </si>
  <si>
    <t>REYMARK BRYAN</t>
  </si>
  <si>
    <t>SILVANO</t>
  </si>
  <si>
    <t>0004</t>
  </si>
  <si>
    <t>SARTHOU</t>
  </si>
  <si>
    <t>IAN MICHAEL LOUIE</t>
  </si>
  <si>
    <t>ALEGA</t>
  </si>
  <si>
    <t>0019</t>
  </si>
  <si>
    <t>RONQUILLO</t>
  </si>
  <si>
    <t>RHEGENE</t>
  </si>
  <si>
    <t>INGAT</t>
  </si>
  <si>
    <t>0020</t>
  </si>
  <si>
    <t>SORIANO</t>
  </si>
  <si>
    <t>MARY ANN</t>
  </si>
  <si>
    <t>VALLEJOS</t>
  </si>
  <si>
    <t>0014</t>
  </si>
  <si>
    <t>GATBONTON</t>
  </si>
  <si>
    <t>BEVERLY</t>
  </si>
  <si>
    <t>TALOBAN</t>
  </si>
  <si>
    <t>0016</t>
  </si>
  <si>
    <t>MALINAO</t>
  </si>
  <si>
    <t>ROGELIO</t>
  </si>
  <si>
    <t>DELA PENA</t>
  </si>
  <si>
    <t>0005</t>
  </si>
  <si>
    <t>AGAS</t>
  </si>
  <si>
    <t>JILLIAN</t>
  </si>
  <si>
    <t>LAO</t>
  </si>
  <si>
    <t>0017</t>
  </si>
  <si>
    <t>NAVALON</t>
  </si>
  <si>
    <t>EVANEL</t>
  </si>
  <si>
    <t>CAACBAY</t>
  </si>
  <si>
    <t>0006</t>
  </si>
  <si>
    <t>AGUILAR</t>
  </si>
  <si>
    <t>IAN MYCO</t>
  </si>
  <si>
    <t>0021</t>
  </si>
  <si>
    <t>MATAGA</t>
  </si>
  <si>
    <t>EDITH</t>
  </si>
  <si>
    <t>DAVID</t>
  </si>
  <si>
    <t>PROBATIONARY</t>
  </si>
  <si>
    <t>0022</t>
  </si>
  <si>
    <t>BENALLA</t>
  </si>
  <si>
    <t>RENNECA</t>
  </si>
  <si>
    <t>Villapaña</t>
  </si>
  <si>
    <t>0023</t>
  </si>
  <si>
    <t>OCAMPO</t>
  </si>
  <si>
    <t>ALFRED</t>
  </si>
  <si>
    <t xml:space="preserve">Naguit </t>
  </si>
  <si>
    <t>0024</t>
  </si>
  <si>
    <t>CARO</t>
  </si>
  <si>
    <t>ROEL</t>
  </si>
  <si>
    <t>MALONZO</t>
  </si>
  <si>
    <t>0025</t>
  </si>
  <si>
    <t>EMBUSCADO</t>
  </si>
  <si>
    <t>EVER</t>
  </si>
  <si>
    <t>A</t>
  </si>
  <si>
    <t>0026</t>
  </si>
  <si>
    <t>TRINIDAD</t>
  </si>
  <si>
    <t>JENNIFER</t>
  </si>
  <si>
    <t>M</t>
  </si>
  <si>
    <t>0027</t>
  </si>
  <si>
    <t xml:space="preserve">MENDOZA </t>
  </si>
  <si>
    <t>SEAN JUSTINE</t>
  </si>
  <si>
    <t>F</t>
  </si>
  <si>
    <t>0028</t>
  </si>
  <si>
    <t>ANALIZA</t>
  </si>
  <si>
    <t>0029</t>
  </si>
  <si>
    <t>BASILIO</t>
  </si>
  <si>
    <t>ABIGAIL ANN</t>
  </si>
  <si>
    <t>Q</t>
  </si>
  <si>
    <t>0030</t>
  </si>
  <si>
    <t>CRISANTO</t>
  </si>
  <si>
    <t>ELRITZ</t>
  </si>
  <si>
    <t xml:space="preserve">T </t>
  </si>
  <si>
    <t>0031</t>
  </si>
  <si>
    <t>PABILLANO</t>
  </si>
  <si>
    <t>FRANKLIN ROOS</t>
  </si>
  <si>
    <t>C</t>
  </si>
  <si>
    <t>NAME</t>
  </si>
  <si>
    <t>Leave Credits from OCC 
YR 2022</t>
  </si>
  <si>
    <t>YR 2023
TOTAL</t>
  </si>
  <si>
    <t xml:space="preserve"> JAN.2023 </t>
  </si>
  <si>
    <t xml:space="preserve"> FEB.2023 </t>
  </si>
  <si>
    <t xml:space="preserve"> MAR.2023 </t>
  </si>
  <si>
    <t xml:space="preserve"> APR.2023 </t>
  </si>
  <si>
    <t xml:space="preserve"> MAY.2023 </t>
  </si>
  <si>
    <t xml:space="preserve"> JUN.2023 </t>
  </si>
  <si>
    <t xml:space="preserve"> JUL.2023 </t>
  </si>
  <si>
    <t xml:space="preserve"> AUG.2023 </t>
  </si>
  <si>
    <t xml:space="preserve"> SEPT.2023 </t>
  </si>
  <si>
    <t xml:space="preserve"> OCT.2023 </t>
  </si>
  <si>
    <t xml:space="preserve"> NOV.2023 </t>
  </si>
  <si>
    <t xml:space="preserve"> DEC.2023 </t>
  </si>
  <si>
    <t>REMAINING LEAVE (2023)</t>
  </si>
  <si>
    <t xml:space="preserve"> Consumed </t>
  </si>
  <si>
    <t xml:space="preserve"> Remaining </t>
  </si>
  <si>
    <t>ANTONIO, VINCENT KEVIN SANTOS</t>
  </si>
  <si>
    <t xml:space="preserve"> VL </t>
  </si>
  <si>
    <t xml:space="preserve"> SL </t>
  </si>
  <si>
    <t>DELA CRUZ, SHAINA DIMAYUGO</t>
  </si>
  <si>
    <t>JOSAFAT, RENALYN</t>
  </si>
  <si>
    <t>GALGO, CEDRICK CRUZ</t>
  </si>
  <si>
    <t>OTSUKA, SHIGERU CENTINA</t>
  </si>
  <si>
    <t>ALIMURONG, JOEL LUSUNG</t>
  </si>
  <si>
    <t>FERNANDEZ, FRANCIS EMMANUEL VELOSO</t>
  </si>
  <si>
    <t>CASTRO, AIZEL SANTOS</t>
  </si>
  <si>
    <t>COLIS, REYMARK BRYAN SILVANO</t>
  </si>
  <si>
    <t>SARTHOU, IAN MICHAEL LOUIE ALEGA</t>
  </si>
  <si>
    <t>RONQUILLO, RHEGENE INGAT</t>
  </si>
  <si>
    <t>SORIANO, MARY ANN VALLEJOS</t>
  </si>
  <si>
    <t>GATBONTON, BEVERLY TALOBAN</t>
  </si>
  <si>
    <t>MALINAO, ROGELIO DELA PENA</t>
  </si>
  <si>
    <t>AGAS, JILLIAN LAO</t>
  </si>
  <si>
    <t>NAVALON, EVANEL CAACBAY</t>
  </si>
  <si>
    <t xml:space="preserve">AGUILAR, IAN MYCO </t>
  </si>
  <si>
    <t>MATAGA, EDITH DAVID</t>
  </si>
  <si>
    <t>BENALLA, RENNECA Villapaña</t>
  </si>
  <si>
    <t xml:space="preserve">OCAMPO, ALFRED Naguit </t>
  </si>
  <si>
    <t>CARO, ROEL MALONZO</t>
  </si>
  <si>
    <t>EMBUSCADO, EVER A</t>
  </si>
  <si>
    <t>TRINIDAD, JENNIFER M</t>
  </si>
  <si>
    <t>MENDOZA , SEAN JUSTINE F</t>
  </si>
  <si>
    <t>GATBONTON, ANALIZA TALOBAN</t>
  </si>
  <si>
    <t>BASILIO, ABIGAIL ANN Q</t>
  </si>
  <si>
    <t xml:space="preserve">CRISANTO, ELRITZ T </t>
  </si>
  <si>
    <t>PABILLANO, FRANKLIN ROOS C</t>
  </si>
  <si>
    <t>VL</t>
  </si>
  <si>
    <t>SL</t>
  </si>
  <si>
    <t>SPL</t>
  </si>
  <si>
    <t>HDSL</t>
  </si>
  <si>
    <t>AUSTRIA, LOUIS FERNAND BALUYOT</t>
  </si>
  <si>
    <t xml:space="preserve">BACONGALLO, NIKA NUEVA </t>
  </si>
  <si>
    <t>BANSIL, KRISTIAN DAVID</t>
  </si>
  <si>
    <t>CAMERINO, YRIS GAELLE PARREÑAS</t>
  </si>
  <si>
    <t>CASTILLANO, DENVER ORLANDA</t>
  </si>
  <si>
    <t>CATOLOGO, MARNIE</t>
  </si>
  <si>
    <t>HDL</t>
  </si>
  <si>
    <t>GUECO, JOHANA ROSE PEREZ</t>
  </si>
  <si>
    <t>LOZANO, ALDWIN JOHN</t>
  </si>
  <si>
    <t>OCAMPO, ALFRED NAGUIT</t>
  </si>
  <si>
    <t>PANGAN, CRISTINA MIRANDA</t>
  </si>
  <si>
    <t>PINEDA, ERIKA SERIOSA</t>
  </si>
  <si>
    <t>PATRIMONIO, RYAN REX</t>
  </si>
  <si>
    <t>SAMODIO, JHUNEL CARLO TRAIFALGAR</t>
  </si>
  <si>
    <t>TICSAY, CLAIROL</t>
  </si>
  <si>
    <t xml:space="preserve">Leave Credits from YR 2023 </t>
  </si>
  <si>
    <t>YR 2024
TOTAL</t>
  </si>
  <si>
    <t xml:space="preserve"> JAN 2024 </t>
  </si>
  <si>
    <t xml:space="preserve"> FEB 2024 </t>
  </si>
  <si>
    <t xml:space="preserve"> MAR.2024 </t>
  </si>
  <si>
    <t xml:space="preserve"> APR.2024</t>
  </si>
  <si>
    <t xml:space="preserve"> MAY.2024 </t>
  </si>
  <si>
    <t xml:space="preserve"> JUN.2024 </t>
  </si>
  <si>
    <t xml:space="preserve"> JUL.2024</t>
  </si>
  <si>
    <t xml:space="preserve"> AUG.2024 </t>
  </si>
  <si>
    <t xml:space="preserve"> SEPT.2024 </t>
  </si>
  <si>
    <t xml:space="preserve"> OCT.2024 </t>
  </si>
  <si>
    <t xml:space="preserve"> NOV.2024 </t>
  </si>
  <si>
    <t xml:space="preserve"> DEC.2024 </t>
  </si>
  <si>
    <t>REMAINING LEAVE (2024)</t>
  </si>
  <si>
    <t>Solo Parent Leave</t>
  </si>
  <si>
    <t>Bansil , Kristian  David</t>
  </si>
  <si>
    <t>Probationary Employees (Credits availble 1 month after regularization)</t>
  </si>
  <si>
    <t>Pangan, Cristina Miranda</t>
  </si>
  <si>
    <t>Seriosa, Erika De leon</t>
  </si>
  <si>
    <t>Samodio, Jhunel Carlo Traifalgar</t>
  </si>
  <si>
    <t>Gueco, Johana Rose Perez</t>
  </si>
  <si>
    <t>Austria, Louis Fernand B</t>
  </si>
  <si>
    <t>Vitug, Michelle G</t>
  </si>
  <si>
    <t xml:space="preserve">Lozano, Aldwin John </t>
  </si>
  <si>
    <t xml:space="preserve">Camerino, Yris Gaelle P. </t>
  </si>
  <si>
    <t>LWOP</t>
  </si>
  <si>
    <t>TOTAL SL</t>
  </si>
  <si>
    <t>PLATERO, MA. CHARISMA</t>
  </si>
  <si>
    <t>TOtal SL</t>
  </si>
  <si>
    <t>CELESTE, LOVELAINE GUDOY</t>
  </si>
  <si>
    <t xml:space="preserve">VL </t>
  </si>
  <si>
    <t>NUÑEZ, IVY</t>
  </si>
  <si>
    <t>TOLOMIA, RICA JOY VIRAY</t>
  </si>
  <si>
    <t>COSTELLOE, NEIL ANTHONY</t>
  </si>
  <si>
    <t>Pineda, Erika Seriosa</t>
  </si>
  <si>
    <t>OCC INCORPORATED</t>
  </si>
  <si>
    <t>EMPLOYEE MASTERLIST</t>
  </si>
  <si>
    <t>SIGNED</t>
  </si>
  <si>
    <t>a</t>
  </si>
  <si>
    <t>MCPHEE</t>
  </si>
  <si>
    <t>FLORABEL</t>
  </si>
  <si>
    <t>MAQUIRAYA</t>
  </si>
  <si>
    <t>ALFONSO</t>
  </si>
  <si>
    <t>RENE</t>
  </si>
  <si>
    <t>ALIETO</t>
  </si>
  <si>
    <t>PACILAN</t>
  </si>
  <si>
    <t>MARK JOSEPH</t>
  </si>
  <si>
    <t>ALCANTARA</t>
  </si>
  <si>
    <t>ALONZO</t>
  </si>
  <si>
    <t>KARLA MAE</t>
  </si>
  <si>
    <t>MEDINA</t>
  </si>
  <si>
    <t>IBANEZ</t>
  </si>
  <si>
    <t>RODJE</t>
  </si>
  <si>
    <t>HABARADAS</t>
  </si>
  <si>
    <t>BAYACA</t>
  </si>
  <si>
    <t>ISAGANI</t>
  </si>
  <si>
    <t>JEME</t>
  </si>
  <si>
    <t>PAMINTUAN</t>
  </si>
  <si>
    <t>ANDREA</t>
  </si>
  <si>
    <t>CABILANGAN</t>
  </si>
  <si>
    <t>MUNGCAL</t>
  </si>
  <si>
    <t>DIANA</t>
  </si>
  <si>
    <t>CAINGLES</t>
  </si>
  <si>
    <t>RYNEL KESSAN</t>
  </si>
  <si>
    <t>CAWILE</t>
  </si>
  <si>
    <t>REYES</t>
  </si>
  <si>
    <t>KRISTINE AINELLE</t>
  </si>
  <si>
    <t>NAVARRO</t>
  </si>
  <si>
    <t>RIVERA</t>
  </si>
  <si>
    <t>ELYONAH THEA</t>
  </si>
  <si>
    <t>VENTURA</t>
  </si>
  <si>
    <t>CAPOR</t>
  </si>
  <si>
    <t>JHERWIN</t>
  </si>
  <si>
    <t>PEREZ</t>
  </si>
  <si>
    <t>DELOS REYES</t>
  </si>
  <si>
    <t>LADY JEREDEINE</t>
  </si>
  <si>
    <t>GARCIA</t>
  </si>
  <si>
    <t>MARIA LIZA</t>
  </si>
  <si>
    <t>ROCHE</t>
  </si>
  <si>
    <t>AUNOR</t>
  </si>
  <si>
    <t>LUIS ALPHONSO</t>
  </si>
  <si>
    <t>CUENCO</t>
  </si>
  <si>
    <t>LIMA</t>
  </si>
  <si>
    <t>DENNY JIM</t>
  </si>
  <si>
    <t>SACDALAN</t>
  </si>
  <si>
    <t>PATRICK</t>
  </si>
  <si>
    <t>BALTAZAR</t>
  </si>
  <si>
    <t>PAOLO</t>
  </si>
  <si>
    <t>PAMPLONA</t>
  </si>
  <si>
    <t>ISAIAH</t>
  </si>
  <si>
    <t>SY</t>
  </si>
  <si>
    <t>GUIAO</t>
  </si>
  <si>
    <t>QUINCY NICA</t>
  </si>
  <si>
    <t>CLEMENTE</t>
  </si>
  <si>
    <t>SUMBILLO</t>
  </si>
  <si>
    <t>MYRA KRIZEL</t>
  </si>
  <si>
    <t>CARNATE</t>
  </si>
  <si>
    <t>IRWIN</t>
  </si>
  <si>
    <t>RANDAHL</t>
  </si>
  <si>
    <t>DIZON</t>
  </si>
  <si>
    <t>EDMON</t>
  </si>
  <si>
    <t>YUMUL</t>
  </si>
  <si>
    <t>KALVIN MARK</t>
  </si>
  <si>
    <t>CAPITLY</t>
  </si>
  <si>
    <t>MANUEL</t>
  </si>
  <si>
    <t>DANNIELLE MARIE</t>
  </si>
  <si>
    <t>PINGUL</t>
  </si>
  <si>
    <t>MARIA CHRISTINA</t>
  </si>
  <si>
    <t>AUSTRIA</t>
  </si>
  <si>
    <t>PATRICIA</t>
  </si>
  <si>
    <t>FLORES</t>
  </si>
  <si>
    <t>TANCHOCO</t>
  </si>
  <si>
    <t>VERGEL</t>
  </si>
  <si>
    <t>TUGADE</t>
  </si>
  <si>
    <t>IAN JEFFREY</t>
  </si>
  <si>
    <t>RACUYA</t>
  </si>
  <si>
    <t>CUARTERO</t>
  </si>
  <si>
    <t>VINCENT PETER</t>
  </si>
  <si>
    <t>LACAP</t>
  </si>
  <si>
    <t>GENDER</t>
  </si>
  <si>
    <t>MALE</t>
  </si>
  <si>
    <t>FEMALE</t>
  </si>
  <si>
    <t>CIVIL STATUS</t>
  </si>
  <si>
    <t>SINGLE</t>
  </si>
  <si>
    <t>MARRIED</t>
  </si>
  <si>
    <t>S1 / M1</t>
  </si>
  <si>
    <t>S2 / M2</t>
  </si>
  <si>
    <t>S3 / M3</t>
  </si>
  <si>
    <t>S4 / M4</t>
  </si>
  <si>
    <t>POSITION</t>
  </si>
  <si>
    <t>ACCOUNTING SUPERVISOR</t>
  </si>
  <si>
    <t>BUSINESS REGISTRATION OFFICER II</t>
  </si>
  <si>
    <t>ACCOUNTING STAFF II / PAYROLL OFFICER</t>
  </si>
  <si>
    <t>ACCOUNTING STAFF I</t>
  </si>
  <si>
    <t>ACCOUNTS MESSENGER</t>
  </si>
  <si>
    <t>BUSINESS ACCOUNTS ASSISTANT</t>
  </si>
  <si>
    <t>BUSINESS REGISTRATION OFFICER I</t>
  </si>
  <si>
    <t>DRAFTSMAN</t>
  </si>
  <si>
    <t>RESIGNED</t>
  </si>
  <si>
    <t>COVL</t>
  </si>
  <si>
    <t>BALDERAS, GLORY ANN GARCIA</t>
  </si>
  <si>
    <t>BONDOC, FRANCIS</t>
  </si>
  <si>
    <t>DIMLA, JHOSUA</t>
  </si>
  <si>
    <t>MACLANG, JULIE ANNE GUINTO</t>
  </si>
  <si>
    <t>MAKABENTA, ALTHEA</t>
  </si>
  <si>
    <t>HTL</t>
  </si>
  <si>
    <t>MAR, CHRISTIAN NIODA</t>
  </si>
  <si>
    <t>Vl</t>
  </si>
  <si>
    <t>CAPATI, ALLEN</t>
  </si>
  <si>
    <t>ESTANIO, ANGELICA</t>
  </si>
  <si>
    <t>JABINAL, ADONIS</t>
  </si>
  <si>
    <t>MACAPAGAL, JEEFRY</t>
  </si>
  <si>
    <t>MONIS, JOSHWEA</t>
  </si>
  <si>
    <t>SOLAYAO, JANETH</t>
  </si>
  <si>
    <t>Total SL</t>
  </si>
  <si>
    <t>BONDOC, FRANCIS EUGENE AGUHAYON</t>
  </si>
  <si>
    <t>CAPATI, ALLEN SOBREPENA</t>
  </si>
  <si>
    <t>ESTANIO, ANGELICA ROSARIO</t>
  </si>
  <si>
    <t>JABINAL, ADONIS DEL MUNDO</t>
  </si>
  <si>
    <t>MACAPAGAL, JEFFRY TUAZON</t>
  </si>
  <si>
    <t>BL</t>
  </si>
  <si>
    <t>MONIS, JOSHWEA MERCADO</t>
  </si>
  <si>
    <t>SOLAYAO, JANETH SEDON</t>
  </si>
  <si>
    <t>SINGH, RAY JINDER</t>
  </si>
  <si>
    <t>ANGELES, CHRISTINE</t>
  </si>
  <si>
    <t xml:space="preserve">DOLLENTES, MARIA NINA </t>
  </si>
  <si>
    <t>MCGREGOR, TRISHA MAE</t>
  </si>
  <si>
    <t>NUNEZA, DOU LESTER SABANDO</t>
  </si>
  <si>
    <t>OCAMPO, GODWIN</t>
  </si>
  <si>
    <t>PASION, APRYL</t>
  </si>
  <si>
    <t>QUIZON, SHIRMILEY</t>
  </si>
  <si>
    <t>SINGH, RAY JINDER VILLENA</t>
  </si>
  <si>
    <t>BAUTISTA, OLIVE SANTOS</t>
  </si>
  <si>
    <t>BEREAVEMENT</t>
  </si>
  <si>
    <t>ARNIGO, CEDRICK</t>
  </si>
  <si>
    <t>BRIONES, JOHN MICHAEL</t>
  </si>
  <si>
    <t>YAP, APRYL</t>
  </si>
  <si>
    <t>ALVAREZ, JOHN BRYAN</t>
  </si>
  <si>
    <t>CARAAN, SARAH</t>
  </si>
  <si>
    <t>DAVID, RYAN ARWIN</t>
  </si>
  <si>
    <t xml:space="preserve">DELA CRUZ, JONAS </t>
  </si>
  <si>
    <t>GUILLERMO, ALFIE</t>
  </si>
  <si>
    <t>TAYAO, ALEXANDER</t>
  </si>
  <si>
    <t>YULO, BRITTANY</t>
  </si>
  <si>
    <t>BELANGEL, KAREN</t>
  </si>
  <si>
    <t>PATAWARAN, SHERRY</t>
  </si>
  <si>
    <t>FERNANDEZ, MARIANNE JAE</t>
  </si>
  <si>
    <t>/2025/</t>
  </si>
  <si>
    <t>REMAINING</t>
  </si>
  <si>
    <t>Carry Over</t>
  </si>
  <si>
    <t>Advance Filing</t>
  </si>
  <si>
    <t xml:space="preserve">SPL </t>
  </si>
  <si>
    <t>DAVID, JOSEPH</t>
  </si>
  <si>
    <t>CUETO, RON</t>
  </si>
  <si>
    <t>ASUNCION</t>
  </si>
  <si>
    <t>BUNDA</t>
  </si>
  <si>
    <t>COCHON</t>
  </si>
  <si>
    <t>GAGOTE</t>
  </si>
  <si>
    <t>GUEVARRA</t>
  </si>
  <si>
    <t>OTAKA</t>
  </si>
  <si>
    <t>CAPIRAL</t>
  </si>
  <si>
    <t>Name</t>
  </si>
  <si>
    <t>CAPIRAL, GABRIEL</t>
  </si>
  <si>
    <t>MANALILI, JOSHUA</t>
  </si>
  <si>
    <t>PANGILINAN, ROI DANE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</si>
</sst>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5" formatCode="000\-000\-000\-000"/>
    <numFmt numFmtId="166" formatCode="00\-000000\-0\-0"/>
    <numFmt numFmtId="167" formatCode="0000\-000\-0000"/>
    <numFmt numFmtId="168" formatCode="00\-000000000\-0"/>
    <numFmt numFmtId="169" formatCode="00\-0000000\-0"/>
    <numFmt numFmtId="170" formatCode="[$-409]mmmm\ d\,\ yyyy;@"/>
    <numFmt numFmtId="171" formatCode="[$-3409]mmmm\ dd\,\ yyyy;@"/>
    <numFmt numFmtId="172" formatCode="0.0"/>
  </numFmts>
  <fonts count="38" x14ac:knownFonts="1">
    <font>
      <sz val="9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sz val="10"/>
      <color theme="1"/>
      <name val="Marlett"/>
      <charset val="2"/>
    </font>
    <font>
      <sz val="9"/>
      <color theme="1"/>
      <name val="Marlett"/>
      <charset val="2"/>
    </font>
    <font>
      <b/>
      <sz val="10"/>
      <color theme="0"/>
      <name val="Tahoma"/>
      <family val="2"/>
    </font>
    <font>
      <sz val="11"/>
      <color theme="1"/>
      <name val="Century Gothic"/>
      <family val="2"/>
    </font>
    <font>
      <sz val="12"/>
      <color rgb="FFFF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libri"/>
      <family val="2"/>
    </font>
    <font>
      <b/>
      <sz val="12"/>
      <color rgb="FFFF0000"/>
      <name val="Calibri"/>
      <family val="2"/>
    </font>
    <font>
      <b/>
      <sz val="12"/>
      <name val="Calibri"/>
      <family val="2"/>
    </font>
    <font>
      <b/>
      <sz val="12"/>
      <color theme="0"/>
      <name val="Calibri"/>
      <family val="2"/>
    </font>
    <font>
      <b/>
      <sz val="11"/>
      <name val="Calibri Light"/>
      <family val="2"/>
      <scheme val="major"/>
    </font>
    <font>
      <sz val="9"/>
      <name val="Calibri"/>
      <family val="2"/>
    </font>
    <font>
      <b/>
      <sz val="9"/>
      <name val="Calibri"/>
      <family val="2"/>
    </font>
    <font>
      <b/>
      <sz val="8"/>
      <name val="Calibri"/>
      <family val="2"/>
    </font>
    <font>
      <b/>
      <sz val="10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9"/>
      <color theme="1"/>
      <name val="Calibri"/>
      <family val="2"/>
    </font>
    <font>
      <sz val="8"/>
      <name val="Calibri"/>
      <family val="2"/>
    </font>
    <font>
      <b/>
      <sz val="11"/>
      <color rgb="FFFA7D00"/>
      <name val="Calibri"/>
      <family val="2"/>
      <scheme val="minor"/>
    </font>
    <font>
      <b/>
      <sz val="9"/>
      <color rgb="FF000000"/>
      <name val="Calibri"/>
      <family val="2"/>
    </font>
    <font>
      <b/>
      <sz val="10"/>
      <name val="Calibri"/>
      <family val="2"/>
    </font>
    <font>
      <b/>
      <sz val="8"/>
      <name val="Calibri"/>
      <scheme val="minor"/>
    </font>
    <font>
      <b/>
      <sz val="8"/>
      <color theme="1"/>
      <name val="Calibri"/>
      <scheme val="minor"/>
    </font>
    <font>
      <b/>
      <sz val="8"/>
      <color rgb="FF000000"/>
      <name val="Calibri"/>
      <scheme val="minor"/>
    </font>
    <font>
      <b/>
      <sz val="8"/>
      <color rgb="FF000000"/>
      <name val="Calibri"/>
      <charset val="1"/>
    </font>
    <font>
      <b/>
      <sz val="9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2F2F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10" fillId="0" borderId="0"/>
    <xf numFmtId="0" fontId="1" fillId="0" borderId="0"/>
    <xf numFmtId="0" fontId="30" fillId="13" borderId="24" applyNumberFormat="0" applyAlignment="0" applyProtection="0"/>
  </cellStyleXfs>
  <cellXfs count="331">
    <xf numFmtId="0" fontId="0" fillId="0" borderId="0" xfId="0"/>
    <xf numFmtId="0" fontId="5" fillId="0" borderId="0" xfId="0" applyFont="1"/>
    <xf numFmtId="0" fontId="2" fillId="0" borderId="0" xfId="0" applyFont="1"/>
    <xf numFmtId="0" fontId="4" fillId="2" borderId="0" xfId="0" applyFont="1" applyFill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9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/>
    </xf>
    <xf numFmtId="170" fontId="2" fillId="0" borderId="1" xfId="0" applyNumberFormat="1" applyFont="1" applyBorder="1" applyAlignment="1">
      <alignment horizontal="center" vertical="center"/>
    </xf>
    <xf numFmtId="170" fontId="2" fillId="0" borderId="2" xfId="0" applyNumberFormat="1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quotePrefix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168" fontId="6" fillId="0" borderId="1" xfId="0" applyNumberFormat="1" applyFont="1" applyBorder="1" applyAlignment="1">
      <alignment horizontal="center" vertical="center"/>
    </xf>
    <xf numFmtId="167" fontId="6" fillId="0" borderId="2" xfId="0" applyNumberFormat="1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2" borderId="0" xfId="0" applyFont="1" applyFill="1" applyAlignment="1">
      <alignment horizontal="center" vertical="center"/>
    </xf>
    <xf numFmtId="171" fontId="2" fillId="0" borderId="0" xfId="0" applyNumberFormat="1" applyFont="1"/>
    <xf numFmtId="171" fontId="4" fillId="2" borderId="0" xfId="0" applyNumberFormat="1" applyFont="1" applyFill="1" applyAlignment="1">
      <alignment horizontal="center" vertical="center"/>
    </xf>
    <xf numFmtId="171" fontId="2" fillId="0" borderId="1" xfId="0" applyNumberFormat="1" applyFont="1" applyBorder="1" applyAlignment="1">
      <alignment horizontal="center" vertical="center"/>
    </xf>
    <xf numFmtId="171" fontId="2" fillId="0" borderId="0" xfId="0" applyNumberFormat="1" applyFont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70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71" fontId="6" fillId="0" borderId="1" xfId="0" applyNumberFormat="1" applyFont="1" applyBorder="1" applyAlignment="1">
      <alignment horizontal="center" vertical="center"/>
    </xf>
    <xf numFmtId="170" fontId="6" fillId="0" borderId="1" xfId="0" applyNumberFormat="1" applyFont="1" applyBorder="1" applyAlignment="1">
      <alignment horizontal="center" vertical="center"/>
    </xf>
    <xf numFmtId="0" fontId="6" fillId="0" borderId="0" xfId="0" applyFont="1"/>
    <xf numFmtId="0" fontId="6" fillId="0" borderId="2" xfId="0" applyFont="1" applyBorder="1"/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171" fontId="6" fillId="0" borderId="2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8" fontId="6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71" fontId="2" fillId="0" borderId="2" xfId="0" applyNumberFormat="1" applyFont="1" applyBorder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4" fillId="0" borderId="11" xfId="0" applyFont="1" applyBorder="1"/>
    <xf numFmtId="0" fontId="14" fillId="0" borderId="11" xfId="0" applyFont="1" applyBorder="1" applyAlignment="1">
      <alignment horizontal="center"/>
    </xf>
    <xf numFmtId="0" fontId="14" fillId="0" borderId="15" xfId="0" applyFont="1" applyBorder="1"/>
    <xf numFmtId="0" fontId="14" fillId="0" borderId="15" xfId="0" applyFont="1" applyBorder="1" applyAlignment="1">
      <alignment horizontal="center"/>
    </xf>
    <xf numFmtId="0" fontId="15" fillId="0" borderId="0" xfId="0" applyFont="1"/>
    <xf numFmtId="43" fontId="14" fillId="0" borderId="15" xfId="0" applyNumberFormat="1" applyFont="1" applyBorder="1"/>
    <xf numFmtId="43" fontId="13" fillId="4" borderId="10" xfId="0" applyNumberFormat="1" applyFont="1" applyFill="1" applyBorder="1"/>
    <xf numFmtId="43" fontId="14" fillId="0" borderId="11" xfId="0" applyNumberFormat="1" applyFont="1" applyBorder="1"/>
    <xf numFmtId="43" fontId="13" fillId="4" borderId="3" xfId="0" applyNumberFormat="1" applyFont="1" applyFill="1" applyBorder="1"/>
    <xf numFmtId="0" fontId="12" fillId="0" borderId="12" xfId="0" applyFont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43" fontId="14" fillId="5" borderId="16" xfId="0" applyNumberFormat="1" applyFont="1" applyFill="1" applyBorder="1"/>
    <xf numFmtId="43" fontId="14" fillId="5" borderId="13" xfId="0" applyNumberFormat="1" applyFont="1" applyFill="1" applyBorder="1"/>
    <xf numFmtId="0" fontId="14" fillId="5" borderId="0" xfId="0" applyFont="1" applyFill="1"/>
    <xf numFmtId="0" fontId="11" fillId="5" borderId="12" xfId="0" applyFont="1" applyFill="1" applyBorder="1" applyAlignment="1">
      <alignment horizontal="center"/>
    </xf>
    <xf numFmtId="43" fontId="14" fillId="5" borderId="15" xfId="0" applyNumberFormat="1" applyFont="1" applyFill="1" applyBorder="1"/>
    <xf numFmtId="43" fontId="14" fillId="5" borderId="11" xfId="0" applyNumberFormat="1" applyFont="1" applyFill="1" applyBorder="1"/>
    <xf numFmtId="43" fontId="11" fillId="5" borderId="11" xfId="0" applyNumberFormat="1" applyFont="1" applyFill="1" applyBorder="1"/>
    <xf numFmtId="43" fontId="18" fillId="5" borderId="11" xfId="0" applyNumberFormat="1" applyFont="1" applyFill="1" applyBorder="1"/>
    <xf numFmtId="43" fontId="14" fillId="0" borderId="0" xfId="0" applyNumberFormat="1" applyFont="1"/>
    <xf numFmtId="0" fontId="15" fillId="0" borderId="0" xfId="0" applyFont="1" applyAlignment="1">
      <alignment horizontal="center"/>
    </xf>
    <xf numFmtId="43" fontId="15" fillId="0" borderId="0" xfId="0" applyNumberFormat="1" applyFont="1"/>
    <xf numFmtId="43" fontId="14" fillId="6" borderId="11" xfId="0" applyNumberFormat="1" applyFont="1" applyFill="1" applyBorder="1"/>
    <xf numFmtId="43" fontId="11" fillId="0" borderId="11" xfId="0" applyNumberFormat="1" applyFont="1" applyBorder="1"/>
    <xf numFmtId="0" fontId="15" fillId="2" borderId="20" xfId="0" applyFont="1" applyFill="1" applyBorder="1" applyAlignment="1">
      <alignment horizontal="left" vertical="center" wrapText="1"/>
    </xf>
    <xf numFmtId="0" fontId="15" fillId="2" borderId="9" xfId="0" applyFont="1" applyFill="1" applyBorder="1" applyAlignment="1">
      <alignment horizontal="left" vertical="center" wrapText="1"/>
    </xf>
    <xf numFmtId="0" fontId="14" fillId="2" borderId="11" xfId="0" applyFont="1" applyFill="1" applyBorder="1"/>
    <xf numFmtId="0" fontId="14" fillId="2" borderId="15" xfId="0" applyFont="1" applyFill="1" applyBorder="1" applyAlignment="1">
      <alignment horizontal="center"/>
    </xf>
    <xf numFmtId="43" fontId="14" fillId="2" borderId="16" xfId="0" applyNumberFormat="1" applyFont="1" applyFill="1" applyBorder="1"/>
    <xf numFmtId="43" fontId="14" fillId="2" borderId="15" xfId="0" applyNumberFormat="1" applyFont="1" applyFill="1" applyBorder="1"/>
    <xf numFmtId="43" fontId="13" fillId="7" borderId="10" xfId="0" applyNumberFormat="1" applyFont="1" applyFill="1" applyBorder="1"/>
    <xf numFmtId="0" fontId="14" fillId="2" borderId="0" xfId="0" applyFont="1" applyFill="1"/>
    <xf numFmtId="0" fontId="11" fillId="0" borderId="12" xfId="0" applyFont="1" applyBorder="1"/>
    <xf numFmtId="172" fontId="14" fillId="0" borderId="15" xfId="0" applyNumberFormat="1" applyFont="1" applyBorder="1" applyAlignment="1">
      <alignment horizontal="center"/>
    </xf>
    <xf numFmtId="43" fontId="18" fillId="2" borderId="16" xfId="0" applyNumberFormat="1" applyFont="1" applyFill="1" applyBorder="1"/>
    <xf numFmtId="43" fontId="18" fillId="2" borderId="15" xfId="0" applyNumberFormat="1" applyFont="1" applyFill="1" applyBorder="1"/>
    <xf numFmtId="43" fontId="20" fillId="7" borderId="10" xfId="0" applyNumberFormat="1" applyFont="1" applyFill="1" applyBorder="1"/>
    <xf numFmtId="0" fontId="18" fillId="2" borderId="0" xfId="0" applyFont="1" applyFill="1"/>
    <xf numFmtId="43" fontId="18" fillId="0" borderId="15" xfId="0" applyNumberFormat="1" applyFont="1" applyBorder="1"/>
    <xf numFmtId="43" fontId="18" fillId="5" borderId="15" xfId="0" applyNumberFormat="1" applyFont="1" applyFill="1" applyBorder="1"/>
    <xf numFmtId="43" fontId="20" fillId="4" borderId="10" xfId="0" applyNumberFormat="1" applyFont="1" applyFill="1" applyBorder="1"/>
    <xf numFmtId="43" fontId="18" fillId="0" borderId="11" xfId="0" applyNumberFormat="1" applyFont="1" applyBorder="1"/>
    <xf numFmtId="43" fontId="20" fillId="4" borderId="3" xfId="0" applyNumberFormat="1" applyFont="1" applyFill="1" applyBorder="1"/>
    <xf numFmtId="43" fontId="20" fillId="0" borderId="0" xfId="0" applyNumberFormat="1" applyFont="1"/>
    <xf numFmtId="0" fontId="20" fillId="0" borderId="0" xfId="0" applyFont="1"/>
    <xf numFmtId="0" fontId="18" fillId="0" borderId="0" xfId="0" applyFont="1"/>
    <xf numFmtId="43" fontId="18" fillId="0" borderId="0" xfId="0" applyNumberFormat="1" applyFont="1"/>
    <xf numFmtId="172" fontId="11" fillId="0" borderId="15" xfId="0" applyNumberFormat="1" applyFont="1" applyBorder="1" applyAlignment="1">
      <alignment horizontal="center"/>
    </xf>
    <xf numFmtId="43" fontId="11" fillId="0" borderId="15" xfId="0" applyNumberFormat="1" applyFont="1" applyBorder="1"/>
    <xf numFmtId="43" fontId="11" fillId="5" borderId="15" xfId="0" applyNumberFormat="1" applyFont="1" applyFill="1" applyBorder="1"/>
    <xf numFmtId="0" fontId="15" fillId="0" borderId="0" xfId="0" applyFont="1" applyAlignment="1">
      <alignment horizontal="left" vertical="center"/>
    </xf>
    <xf numFmtId="172" fontId="14" fillId="0" borderId="0" xfId="0" applyNumberFormat="1" applyFont="1" applyAlignment="1">
      <alignment horizontal="center"/>
    </xf>
    <xf numFmtId="43" fontId="20" fillId="4" borderId="0" xfId="0" applyNumberFormat="1" applyFont="1" applyFill="1"/>
    <xf numFmtId="43" fontId="14" fillId="0" borderId="16" xfId="0" applyNumberFormat="1" applyFont="1" applyBorder="1"/>
    <xf numFmtId="43" fontId="14" fillId="0" borderId="13" xfId="0" applyNumberFormat="1" applyFont="1" applyBorder="1"/>
    <xf numFmtId="2" fontId="14" fillId="0" borderId="0" xfId="0" applyNumberFormat="1" applyFont="1"/>
    <xf numFmtId="0" fontId="18" fillId="0" borderId="11" xfId="0" applyFont="1" applyBorder="1"/>
    <xf numFmtId="172" fontId="18" fillId="0" borderId="15" xfId="0" applyNumberFormat="1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43" fontId="18" fillId="5" borderId="16" xfId="0" applyNumberFormat="1" applyFont="1" applyFill="1" applyBorder="1"/>
    <xf numFmtId="43" fontId="14" fillId="0" borderId="15" xfId="0" applyNumberFormat="1" applyFont="1" applyBorder="1" applyAlignment="1">
      <alignment horizontal="center"/>
    </xf>
    <xf numFmtId="43" fontId="15" fillId="0" borderId="0" xfId="0" applyNumberFormat="1" applyFont="1" applyAlignment="1">
      <alignment horizontal="center"/>
    </xf>
    <xf numFmtId="0" fontId="2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2" fillId="0" borderId="0" xfId="0" applyFont="1" applyAlignment="1">
      <alignment vertical="center" wrapText="1"/>
    </xf>
    <xf numFmtId="0" fontId="22" fillId="0" borderId="23" xfId="0" applyFont="1" applyBorder="1" applyAlignment="1">
      <alignment vertical="center" wrapText="1"/>
    </xf>
    <xf numFmtId="0" fontId="22" fillId="0" borderId="0" xfId="0" applyFont="1" applyAlignment="1">
      <alignment wrapText="1"/>
    </xf>
    <xf numFmtId="0" fontId="22" fillId="0" borderId="1" xfId="0" applyFont="1" applyBorder="1" applyAlignment="1">
      <alignment horizontal="center" vertical="center"/>
    </xf>
    <xf numFmtId="16" fontId="25" fillId="0" borderId="1" xfId="0" applyNumberFormat="1" applyFont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2" fontId="24" fillId="8" borderId="1" xfId="0" applyNumberFormat="1" applyFont="1" applyFill="1" applyBorder="1" applyAlignment="1">
      <alignment horizontal="center" vertical="center"/>
    </xf>
    <xf numFmtId="2" fontId="24" fillId="9" borderId="1" xfId="0" applyNumberFormat="1" applyFont="1" applyFill="1" applyBorder="1" applyAlignment="1">
      <alignment horizontal="center" vertical="center"/>
    </xf>
    <xf numFmtId="0" fontId="26" fillId="0" borderId="1" xfId="0" applyFont="1" applyBorder="1" applyAlignment="1">
      <alignment vertical="center" wrapText="1"/>
    </xf>
    <xf numFmtId="0" fontId="26" fillId="0" borderId="1" xfId="0" applyFont="1" applyBorder="1" applyAlignment="1">
      <alignment horizontal="center" vertical="center"/>
    </xf>
    <xf numFmtId="0" fontId="19" fillId="0" borderId="19" xfId="0" applyFont="1" applyBorder="1" applyAlignment="1">
      <alignment vertical="center" wrapText="1"/>
    </xf>
    <xf numFmtId="0" fontId="19" fillId="0" borderId="16" xfId="0" applyFont="1" applyBorder="1" applyAlignment="1">
      <alignment vertical="center" wrapText="1"/>
    </xf>
    <xf numFmtId="43" fontId="24" fillId="10" borderId="1" xfId="0" applyNumberFormat="1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43" fontId="23" fillId="0" borderId="1" xfId="0" applyNumberFormat="1" applyFont="1" applyBorder="1" applyAlignment="1">
      <alignment horizontal="left" vertical="center" indent="1"/>
    </xf>
    <xf numFmtId="43" fontId="23" fillId="0" borderId="1" xfId="0" applyNumberFormat="1" applyFont="1" applyBorder="1" applyAlignment="1">
      <alignment horizontal="center" vertical="center" indent="1"/>
    </xf>
    <xf numFmtId="0" fontId="0" fillId="0" borderId="11" xfId="0" applyBorder="1" applyAlignment="1">
      <alignment horizontal="center" vertical="center"/>
    </xf>
    <xf numFmtId="0" fontId="24" fillId="10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6" fillId="11" borderId="1" xfId="0" applyFont="1" applyFill="1" applyBorder="1" applyAlignment="1">
      <alignment vertical="center" wrapText="1"/>
    </xf>
    <xf numFmtId="0" fontId="0" fillId="11" borderId="1" xfId="0" applyFill="1" applyBorder="1" applyAlignment="1">
      <alignment horizontal="center" vertical="center"/>
    </xf>
    <xf numFmtId="0" fontId="0" fillId="11" borderId="0" xfId="0" applyFill="1"/>
    <xf numFmtId="0" fontId="27" fillId="0" borderId="0" xfId="0" applyFont="1" applyAlignment="1">
      <alignment wrapText="1"/>
    </xf>
    <xf numFmtId="43" fontId="24" fillId="10" borderId="1" xfId="0" applyNumberFormat="1" applyFont="1" applyFill="1" applyBorder="1" applyAlignment="1">
      <alignment horizontal="left" vertical="center"/>
    </xf>
    <xf numFmtId="2" fontId="24" fillId="10" borderId="1" xfId="0" applyNumberFormat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12" borderId="1" xfId="0" applyFont="1" applyFill="1" applyBorder="1" applyAlignment="1">
      <alignment horizontal="center" vertical="center"/>
    </xf>
    <xf numFmtId="16" fontId="29" fillId="0" borderId="1" xfId="0" applyNumberFormat="1" applyFont="1" applyBorder="1" applyAlignment="1">
      <alignment horizontal="center" vertical="center"/>
    </xf>
    <xf numFmtId="0" fontId="28" fillId="11" borderId="1" xfId="0" applyFont="1" applyFill="1" applyBorder="1" applyAlignment="1">
      <alignment horizontal="center" vertical="center"/>
    </xf>
    <xf numFmtId="16" fontId="25" fillId="11" borderId="1" xfId="0" applyNumberFormat="1" applyFont="1" applyFill="1" applyBorder="1" applyAlignment="1">
      <alignment horizontal="center" vertical="center"/>
    </xf>
    <xf numFmtId="16" fontId="29" fillId="11" borderId="1" xfId="0" applyNumberFormat="1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30" fillId="13" borderId="24" xfId="4" applyAlignment="1">
      <alignment horizontal="center" vertical="center"/>
    </xf>
    <xf numFmtId="0" fontId="31" fillId="11" borderId="1" xfId="0" applyFont="1" applyFill="1" applyBorder="1" applyAlignment="1">
      <alignment horizontal="center" vertical="center"/>
    </xf>
    <xf numFmtId="0" fontId="28" fillId="11" borderId="2" xfId="0" applyFont="1" applyFill="1" applyBorder="1" applyAlignment="1">
      <alignment horizontal="center" vertical="center"/>
    </xf>
    <xf numFmtId="0" fontId="28" fillId="11" borderId="11" xfId="0" applyFont="1" applyFill="1" applyBorder="1" applyAlignment="1">
      <alignment horizontal="center" vertical="center"/>
    </xf>
    <xf numFmtId="16" fontId="25" fillId="11" borderId="11" xfId="0" applyNumberFormat="1" applyFont="1" applyFill="1" applyBorder="1" applyAlignment="1">
      <alignment horizontal="center" vertical="center"/>
    </xf>
    <xf numFmtId="0" fontId="31" fillId="11" borderId="11" xfId="0" applyFont="1" applyFill="1" applyBorder="1" applyAlignment="1">
      <alignment horizontal="center" vertical="center"/>
    </xf>
    <xf numFmtId="0" fontId="28" fillId="0" borderId="11" xfId="0" applyFont="1" applyBorder="1"/>
    <xf numFmtId="2" fontId="24" fillId="10" borderId="4" xfId="0" applyNumberFormat="1" applyFont="1" applyFill="1" applyBorder="1" applyAlignment="1">
      <alignment horizontal="center" vertical="center"/>
    </xf>
    <xf numFmtId="0" fontId="28" fillId="11" borderId="15" xfId="0" applyFont="1" applyFill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2" fontId="24" fillId="8" borderId="11" xfId="0" applyNumberFormat="1" applyFont="1" applyFill="1" applyBorder="1" applyAlignment="1">
      <alignment horizontal="center" vertical="center"/>
    </xf>
    <xf numFmtId="2" fontId="24" fillId="9" borderId="11" xfId="0" applyNumberFormat="1" applyFont="1" applyFill="1" applyBorder="1" applyAlignment="1">
      <alignment horizontal="center" vertical="center"/>
    </xf>
    <xf numFmtId="2" fontId="24" fillId="10" borderId="11" xfId="0" applyNumberFormat="1" applyFont="1" applyFill="1" applyBorder="1" applyAlignment="1">
      <alignment horizontal="center" vertical="center"/>
    </xf>
    <xf numFmtId="16" fontId="29" fillId="11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24" fillId="8" borderId="2" xfId="0" applyFont="1" applyFill="1" applyBorder="1" applyAlignment="1">
      <alignment horizontal="center" vertical="center"/>
    </xf>
    <xf numFmtId="0" fontId="24" fillId="9" borderId="2" xfId="0" applyFont="1" applyFill="1" applyBorder="1" applyAlignment="1">
      <alignment horizontal="center" vertical="center"/>
    </xf>
    <xf numFmtId="0" fontId="24" fillId="10" borderId="2" xfId="0" applyFont="1" applyFill="1" applyBorder="1" applyAlignment="1">
      <alignment horizontal="center" vertical="center"/>
    </xf>
    <xf numFmtId="16" fontId="25" fillId="0" borderId="2" xfId="0" applyNumberFormat="1" applyFont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26" fillId="5" borderId="1" xfId="0" applyFont="1" applyFill="1" applyBorder="1" applyAlignment="1">
      <alignment vertical="center" wrapText="1"/>
    </xf>
    <xf numFmtId="0" fontId="22" fillId="0" borderId="2" xfId="0" applyFont="1" applyBorder="1" applyAlignment="1">
      <alignment horizontal="center" vertical="center"/>
    </xf>
    <xf numFmtId="0" fontId="26" fillId="0" borderId="11" xfId="0" applyFont="1" applyBorder="1" applyAlignment="1">
      <alignment vertical="center" wrapText="1"/>
    </xf>
    <xf numFmtId="0" fontId="22" fillId="0" borderId="11" xfId="0" applyFont="1" applyBorder="1" applyAlignment="1">
      <alignment vertical="center" wrapText="1"/>
    </xf>
    <xf numFmtId="0" fontId="26" fillId="11" borderId="11" xfId="0" applyFont="1" applyFill="1" applyBorder="1" applyAlignment="1">
      <alignment vertical="center" wrapText="1"/>
    </xf>
    <xf numFmtId="0" fontId="22" fillId="11" borderId="11" xfId="0" applyFont="1" applyFill="1" applyBorder="1" applyAlignment="1">
      <alignment vertical="center" wrapText="1"/>
    </xf>
    <xf numFmtId="0" fontId="22" fillId="11" borderId="1" xfId="0" applyFont="1" applyFill="1" applyBorder="1" applyAlignment="1">
      <alignment vertical="center" wrapText="1"/>
    </xf>
    <xf numFmtId="0" fontId="22" fillId="11" borderId="0" xfId="0" applyFont="1" applyFill="1" applyAlignment="1">
      <alignment vertical="center" wrapText="1"/>
    </xf>
    <xf numFmtId="16" fontId="33" fillId="0" borderId="2" xfId="0" applyNumberFormat="1" applyFont="1" applyBorder="1" applyAlignment="1">
      <alignment horizontal="center" vertical="center"/>
    </xf>
    <xf numFmtId="16" fontId="33" fillId="11" borderId="11" xfId="0" applyNumberFormat="1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8" borderId="2" xfId="0" applyFont="1" applyFill="1" applyBorder="1" applyAlignment="1">
      <alignment horizontal="center" vertical="center"/>
    </xf>
    <xf numFmtId="0" fontId="33" fillId="9" borderId="2" xfId="0" applyFont="1" applyFill="1" applyBorder="1" applyAlignment="1">
      <alignment horizontal="center" vertical="center"/>
    </xf>
    <xf numFmtId="0" fontId="33" fillId="10" borderId="2" xfId="0" applyFont="1" applyFill="1" applyBorder="1" applyAlignment="1">
      <alignment horizontal="center" vertical="center"/>
    </xf>
    <xf numFmtId="0" fontId="34" fillId="0" borderId="0" xfId="0" applyFont="1"/>
    <xf numFmtId="0" fontId="33" fillId="0" borderId="11" xfId="0" applyFont="1" applyBorder="1" applyAlignment="1">
      <alignment vertical="center" wrapText="1"/>
    </xf>
    <xf numFmtId="2" fontId="33" fillId="8" borderId="11" xfId="0" applyNumberFormat="1" applyFont="1" applyFill="1" applyBorder="1" applyAlignment="1">
      <alignment horizontal="center" vertical="center"/>
    </xf>
    <xf numFmtId="2" fontId="33" fillId="9" borderId="11" xfId="0" applyNumberFormat="1" applyFont="1" applyFill="1" applyBorder="1" applyAlignment="1">
      <alignment horizontal="center" vertical="center"/>
    </xf>
    <xf numFmtId="2" fontId="33" fillId="10" borderId="11" xfId="0" applyNumberFormat="1" applyFont="1" applyFill="1" applyBorder="1" applyAlignment="1">
      <alignment horizontal="center" vertical="center"/>
    </xf>
    <xf numFmtId="0" fontId="34" fillId="11" borderId="11" xfId="0" applyFont="1" applyFill="1" applyBorder="1" applyAlignment="1">
      <alignment horizontal="center" vertical="center"/>
    </xf>
    <xf numFmtId="0" fontId="33" fillId="11" borderId="11" xfId="0" applyFont="1" applyFill="1" applyBorder="1" applyAlignment="1">
      <alignment vertical="center" wrapText="1"/>
    </xf>
    <xf numFmtId="0" fontId="35" fillId="11" borderId="11" xfId="0" applyFont="1" applyFill="1" applyBorder="1" applyAlignment="1">
      <alignment horizontal="center" vertical="center"/>
    </xf>
    <xf numFmtId="0" fontId="34" fillId="0" borderId="11" xfId="0" applyFont="1" applyBorder="1"/>
    <xf numFmtId="0" fontId="33" fillId="11" borderId="1" xfId="0" applyFont="1" applyFill="1" applyBorder="1" applyAlignment="1">
      <alignment vertical="center" wrapText="1"/>
    </xf>
    <xf numFmtId="0" fontId="33" fillId="11" borderId="0" xfId="0" applyFont="1" applyFill="1" applyAlignment="1">
      <alignment vertical="center" wrapText="1"/>
    </xf>
    <xf numFmtId="0" fontId="34" fillId="14" borderId="11" xfId="0" applyFont="1" applyFill="1" applyBorder="1" applyAlignment="1">
      <alignment horizontal="center" vertical="center"/>
    </xf>
    <xf numFmtId="0" fontId="33" fillId="5" borderId="11" xfId="0" applyFont="1" applyFill="1" applyBorder="1" applyAlignment="1">
      <alignment vertical="center" wrapText="1"/>
    </xf>
    <xf numFmtId="0" fontId="34" fillId="11" borderId="25" xfId="0" applyFont="1" applyFill="1" applyBorder="1" applyAlignment="1">
      <alignment horizontal="center" vertical="center"/>
    </xf>
    <xf numFmtId="2" fontId="33" fillId="10" borderId="21" xfId="0" applyNumberFormat="1" applyFont="1" applyFill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/>
    </xf>
    <xf numFmtId="0" fontId="34" fillId="11" borderId="21" xfId="0" applyFont="1" applyFill="1" applyBorder="1" applyAlignment="1">
      <alignment horizontal="center" vertical="center"/>
    </xf>
    <xf numFmtId="16" fontId="33" fillId="11" borderId="21" xfId="0" applyNumberFormat="1" applyFont="1" applyFill="1" applyBorder="1" applyAlignment="1">
      <alignment horizontal="center" vertical="center"/>
    </xf>
    <xf numFmtId="0" fontId="34" fillId="0" borderId="21" xfId="0" applyFont="1" applyBorder="1"/>
    <xf numFmtId="0" fontId="34" fillId="11" borderId="17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25" xfId="0" applyFont="1" applyBorder="1"/>
    <xf numFmtId="0" fontId="34" fillId="0" borderId="17" xfId="0" applyFont="1" applyBorder="1"/>
    <xf numFmtId="0" fontId="0" fillId="5" borderId="1" xfId="0" applyFill="1" applyBorder="1" applyAlignment="1">
      <alignment horizontal="center" vertical="center"/>
    </xf>
    <xf numFmtId="0" fontId="33" fillId="15" borderId="11" xfId="0" applyFont="1" applyFill="1" applyBorder="1" applyAlignment="1">
      <alignment vertical="center" wrapText="1"/>
    </xf>
    <xf numFmtId="16" fontId="33" fillId="0" borderId="11" xfId="0" applyNumberFormat="1" applyFont="1" applyBorder="1" applyAlignment="1">
      <alignment horizontal="center" vertical="center"/>
    </xf>
    <xf numFmtId="0" fontId="34" fillId="11" borderId="13" xfId="0" applyFont="1" applyFill="1" applyBorder="1" applyAlignment="1">
      <alignment horizontal="center" vertical="center"/>
    </xf>
    <xf numFmtId="16" fontId="33" fillId="11" borderId="13" xfId="0" applyNumberFormat="1" applyFont="1" applyFill="1" applyBorder="1" applyAlignment="1">
      <alignment horizontal="center" vertical="center"/>
    </xf>
    <xf numFmtId="0" fontId="34" fillId="11" borderId="15" xfId="0" applyFont="1" applyFill="1" applyBorder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16" fontId="33" fillId="0" borderId="15" xfId="0" applyNumberFormat="1" applyFont="1" applyBorder="1" applyAlignment="1">
      <alignment horizontal="center" vertical="center"/>
    </xf>
    <xf numFmtId="16" fontId="33" fillId="11" borderId="15" xfId="0" applyNumberFormat="1" applyFont="1" applyFill="1" applyBorder="1" applyAlignment="1">
      <alignment horizontal="center" vertical="center"/>
    </xf>
    <xf numFmtId="0" fontId="34" fillId="5" borderId="11" xfId="0" applyFont="1" applyFill="1" applyBorder="1" applyAlignment="1">
      <alignment horizontal="center" vertical="center"/>
    </xf>
    <xf numFmtId="0" fontId="33" fillId="16" borderId="11" xfId="0" applyFont="1" applyFill="1" applyBorder="1" applyAlignment="1">
      <alignment vertical="center" wrapText="1"/>
    </xf>
    <xf numFmtId="0" fontId="33" fillId="10" borderId="11" xfId="0" applyFont="1" applyFill="1" applyBorder="1" applyAlignment="1">
      <alignment vertical="center" wrapText="1"/>
    </xf>
    <xf numFmtId="0" fontId="36" fillId="0" borderId="0" xfId="0" applyFont="1" applyAlignment="1">
      <alignment horizontal="center"/>
    </xf>
    <xf numFmtId="0" fontId="34" fillId="0" borderId="25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16" fontId="33" fillId="0" borderId="21" xfId="0" applyNumberFormat="1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6" fontId="33" fillId="0" borderId="7" xfId="0" applyNumberFormat="1" applyFont="1" applyBorder="1" applyAlignment="1">
      <alignment horizontal="center" vertical="center"/>
    </xf>
    <xf numFmtId="0" fontId="34" fillId="0" borderId="21" xfId="0" applyFont="1" applyBorder="1" applyAlignment="1">
      <alignment horizontal="center"/>
    </xf>
    <xf numFmtId="0" fontId="33" fillId="17" borderId="11" xfId="0" applyFont="1" applyFill="1" applyBorder="1" applyAlignment="1">
      <alignment vertical="center" wrapText="1"/>
    </xf>
    <xf numFmtId="0" fontId="28" fillId="5" borderId="11" xfId="0" applyFont="1" applyFill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5" xfId="0" applyFont="1" applyBorder="1"/>
    <xf numFmtId="0" fontId="34" fillId="0" borderId="0" xfId="0" applyFont="1" applyAlignment="1">
      <alignment wrapText="1"/>
    </xf>
    <xf numFmtId="0" fontId="33" fillId="18" borderId="11" xfId="0" applyFont="1" applyFill="1" applyBorder="1" applyAlignment="1">
      <alignment vertical="center" wrapText="1"/>
    </xf>
    <xf numFmtId="0" fontId="33" fillId="11" borderId="11" xfId="0" applyFont="1" applyFill="1" applyBorder="1" applyAlignment="1">
      <alignment horizontal="left" vertical="center" wrapText="1"/>
    </xf>
    <xf numFmtId="0" fontId="33" fillId="0" borderId="25" xfId="0" applyFont="1" applyBorder="1" applyAlignment="1">
      <alignment vertical="center" wrapText="1"/>
    </xf>
    <xf numFmtId="2" fontId="33" fillId="9" borderId="25" xfId="0" applyNumberFormat="1" applyFont="1" applyFill="1" applyBorder="1" applyAlignment="1">
      <alignment horizontal="center" vertical="center"/>
    </xf>
    <xf numFmtId="2" fontId="33" fillId="10" borderId="25" xfId="0" applyNumberFormat="1" applyFont="1" applyFill="1" applyBorder="1" applyAlignment="1">
      <alignment horizontal="center" vertical="center"/>
    </xf>
    <xf numFmtId="0" fontId="34" fillId="0" borderId="25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8" fillId="0" borderId="11" xfId="0" applyFont="1" applyBorder="1" applyAlignment="1">
      <alignment horizontal="center"/>
    </xf>
    <xf numFmtId="16" fontId="28" fillId="0" borderId="0" xfId="0" applyNumberFormat="1" applyFont="1" applyAlignment="1">
      <alignment horizontal="center"/>
    </xf>
    <xf numFmtId="0" fontId="33" fillId="0" borderId="11" xfId="0" applyFont="1" applyBorder="1" applyAlignment="1">
      <alignment horizontal="left" vertical="center" wrapText="1"/>
    </xf>
    <xf numFmtId="0" fontId="33" fillId="0" borderId="0" xfId="0" applyFont="1" applyAlignment="1">
      <alignment vertical="center" wrapText="1"/>
    </xf>
    <xf numFmtId="0" fontId="33" fillId="0" borderId="1" xfId="0" applyFont="1" applyBorder="1" applyAlignment="1">
      <alignment vertical="center" wrapText="1"/>
    </xf>
    <xf numFmtId="0" fontId="34" fillId="0" borderId="15" xfId="0" applyFont="1" applyBorder="1" applyAlignment="1">
      <alignment horizontal="center"/>
    </xf>
    <xf numFmtId="0" fontId="33" fillId="0" borderId="7" xfId="0" applyFont="1" applyBorder="1" applyAlignment="1">
      <alignment horizontal="center" vertical="center"/>
    </xf>
    <xf numFmtId="2" fontId="33" fillId="0" borderId="15" xfId="0" applyNumberFormat="1" applyFont="1" applyBorder="1" applyAlignment="1">
      <alignment horizontal="center" vertical="center" wrapText="1"/>
    </xf>
    <xf numFmtId="17" fontId="37" fillId="0" borderId="11" xfId="0" applyNumberFormat="1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34" fillId="0" borderId="17" xfId="0" applyFont="1" applyBorder="1" applyAlignment="1">
      <alignment horizontal="center"/>
    </xf>
    <xf numFmtId="0" fontId="33" fillId="12" borderId="11" xfId="0" applyFont="1" applyFill="1" applyBorder="1" applyAlignment="1">
      <alignment vertical="center" wrapText="1"/>
    </xf>
    <xf numFmtId="0" fontId="33" fillId="12" borderId="1" xfId="0" applyFont="1" applyFill="1" applyBorder="1" applyAlignment="1">
      <alignment vertical="center" wrapText="1"/>
    </xf>
    <xf numFmtId="0" fontId="33" fillId="12" borderId="0" xfId="0" applyFont="1" applyFill="1" applyAlignment="1">
      <alignment vertical="center" wrapText="1"/>
    </xf>
    <xf numFmtId="0" fontId="34" fillId="12" borderId="11" xfId="0" applyFont="1" applyFill="1" applyBorder="1"/>
    <xf numFmtId="2" fontId="0" fillId="0" borderId="11" xfId="0" applyNumberFormat="1" applyBorder="1" applyAlignment="1">
      <alignment horizontal="center"/>
    </xf>
    <xf numFmtId="0" fontId="0" fillId="19" borderId="11" xfId="0" applyFill="1" applyBorder="1"/>
    <xf numFmtId="0" fontId="28" fillId="0" borderId="0" xfId="0" applyFont="1"/>
    <xf numFmtId="0" fontId="0" fillId="0" borderId="21" xfId="0" applyBorder="1"/>
    <xf numFmtId="0" fontId="28" fillId="0" borderId="21" xfId="0" applyFont="1" applyBorder="1" applyAlignment="1">
      <alignment horizontal="center"/>
    </xf>
    <xf numFmtId="0" fontId="28" fillId="19" borderId="15" xfId="0" applyFont="1" applyFill="1" applyBorder="1" applyAlignment="1">
      <alignment horizontal="center"/>
    </xf>
    <xf numFmtId="0" fontId="28" fillId="19" borderId="15" xfId="0" applyFont="1" applyFill="1" applyBorder="1" applyAlignment="1">
      <alignment horizontal="center" vertical="center"/>
    </xf>
    <xf numFmtId="0" fontId="0" fillId="0" borderId="19" xfId="0" applyBorder="1"/>
    <xf numFmtId="2" fontId="0" fillId="5" borderId="11" xfId="0" applyNumberFormat="1" applyFill="1" applyBorder="1" applyAlignment="1">
      <alignment horizontal="center"/>
    </xf>
    <xf numFmtId="16" fontId="0" fillId="0" borderId="11" xfId="0" applyNumberFormat="1" applyBorder="1"/>
    <xf numFmtId="2" fontId="0" fillId="0" borderId="0" xfId="0" applyNumberFormat="1"/>
    <xf numFmtId="0" fontId="28" fillId="9" borderId="11" xfId="0" applyFont="1" applyFill="1" applyBorder="1" applyAlignment="1">
      <alignment horizontal="center"/>
    </xf>
    <xf numFmtId="0" fontId="28" fillId="8" borderId="11" xfId="0" applyFont="1" applyFill="1" applyBorder="1" applyAlignment="1">
      <alignment horizontal="center"/>
    </xf>
    <xf numFmtId="0" fontId="28" fillId="10" borderId="11" xfId="0" applyFont="1" applyFill="1" applyBorder="1" applyAlignment="1">
      <alignment horizontal="center"/>
    </xf>
    <xf numFmtId="0" fontId="0" fillId="10" borderId="21" xfId="0" applyFill="1" applyBorder="1"/>
    <xf numFmtId="0" fontId="28" fillId="10" borderId="21" xfId="0" applyFont="1" applyFill="1" applyBorder="1" applyAlignment="1">
      <alignment horizontal="center"/>
    </xf>
    <xf numFmtId="0" fontId="0" fillId="10" borderId="17" xfId="0" applyFill="1" applyBorder="1"/>
    <xf numFmtId="2" fontId="28" fillId="0" borderId="11" xfId="0" applyNumberFormat="1" applyFont="1" applyBorder="1" applyAlignment="1">
      <alignment horizontal="center"/>
    </xf>
    <xf numFmtId="2" fontId="0" fillId="19" borderId="11" xfId="0" applyNumberFormat="1" applyFill="1" applyBorder="1" applyAlignment="1">
      <alignment horizontal="center"/>
    </xf>
    <xf numFmtId="0" fontId="15" fillId="0" borderId="17" xfId="0" applyFont="1" applyBorder="1" applyAlignment="1">
      <alignment horizontal="left" vertical="center" wrapText="1"/>
    </xf>
    <xf numFmtId="0" fontId="15" fillId="0" borderId="18" xfId="0" applyFont="1" applyBorder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left" vertical="center" wrapText="1"/>
    </xf>
    <xf numFmtId="0" fontId="19" fillId="0" borderId="20" xfId="0" applyFont="1" applyBorder="1" applyAlignment="1">
      <alignment horizontal="left" vertical="center" wrapText="1"/>
    </xf>
    <xf numFmtId="0" fontId="19" fillId="0" borderId="9" xfId="0" applyFont="1" applyBorder="1" applyAlignment="1">
      <alignment horizontal="left" vertical="center" wrapText="1"/>
    </xf>
    <xf numFmtId="0" fontId="19" fillId="0" borderId="19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5" fillId="0" borderId="14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/>
    </xf>
    <xf numFmtId="0" fontId="15" fillId="0" borderId="18" xfId="0" applyFont="1" applyBorder="1" applyAlignment="1">
      <alignment horizontal="left" vertical="center"/>
    </xf>
    <xf numFmtId="0" fontId="15" fillId="0" borderId="20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19" xfId="0" applyFont="1" applyBorder="1" applyAlignment="1">
      <alignment horizontal="left" vertical="center"/>
    </xf>
    <xf numFmtId="0" fontId="15" fillId="0" borderId="16" xfId="0" applyFont="1" applyBorder="1" applyAlignment="1">
      <alignment horizontal="left" vertical="center"/>
    </xf>
    <xf numFmtId="0" fontId="21" fillId="2" borderId="21" xfId="0" applyFont="1" applyFill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 wrapText="1"/>
    </xf>
    <xf numFmtId="0" fontId="21" fillId="2" borderId="13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16" fontId="28" fillId="0" borderId="11" xfId="0" applyNumberFormat="1" applyFont="1" applyBorder="1" applyAlignment="1">
      <alignment horizontal="center"/>
    </xf>
    <xf numFmtId="16" fontId="28" fillId="0" borderId="25" xfId="0" applyNumberFormat="1" applyFont="1" applyBorder="1" applyAlignment="1">
      <alignment horizontal="center"/>
    </xf>
  </cellXfs>
  <cellStyles count="5">
    <cellStyle name="Calculation" xfId="4" builtinId="22"/>
    <cellStyle name="Comma 2" xfId="1" xr:uid="{00000000-0005-0000-0000-000001000000}"/>
    <cellStyle name="Normal" xfId="0" builtinId="0"/>
    <cellStyle name="Normal 2" xfId="2" xr:uid="{D6673DC7-343B-48E7-8032-0B1E5FAC7C0F}"/>
    <cellStyle name="Normal 3" xfId="3" xr:uid="{1A7A3920-4800-4595-9193-C35DB923613A}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0000\-000\-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00\-000000000\-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6" formatCode="00\-000000\-0\-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000\-000\-000\-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70" formatCode="[$-409]mmmm\ d\,\ 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71" formatCode="[$-3409]mmmm\ dd\,\ 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uman Resources | Resource Staffing Solutions" id="{790E13F2-8EF9-442B-9265-C5D12BBB95E1}" userId="S::hr@resourcestaff.com.ph::01c35379-97ac-42ab-9fed-d1003b6c51b9" providerId="AD"/>
  <person displayName="Rica Tolomia | Resource Staffing Solutions" id="{7445FCE5-722C-4B96-96AB-2FBF9BA48CEC}" userId="S::rica.tolomia@resourcestaff.com.ph::df9eb0ea-42a4-4eec-87c7-6601887c887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M31" totalsRowShown="0" headerRowDxfId="22" dataDxfId="21" tableBorderDxfId="20">
  <autoFilter ref="A2:M31" xr:uid="{00000000-0009-0000-0100-000001000000}">
    <filterColumn colId="6">
      <filters blank="1">
        <filter val="PROBATIONARY"/>
        <filter val="REGULAR"/>
      </filters>
    </filterColumn>
  </autoFilter>
  <sortState xmlns:xlrd2="http://schemas.microsoft.com/office/spreadsheetml/2017/richdata2" ref="A3:M31">
    <sortCondition ref="E2:E31"/>
  </sortState>
  <tableColumns count="13">
    <tableColumn id="1" xr3:uid="{00000000-0010-0000-0000-000001000000}" name="ID NO." dataDxfId="19"/>
    <tableColumn id="2" xr3:uid="{00000000-0010-0000-0000-000002000000}" name="LAST NAME" dataDxfId="18"/>
    <tableColumn id="3" xr3:uid="{00000000-0010-0000-0000-000003000000}" name="FIRST NAME" dataDxfId="17"/>
    <tableColumn id="4" xr3:uid="{00000000-0010-0000-0000-000004000000}" name="MIDDLE NAME" dataDxfId="16"/>
    <tableColumn id="11" xr3:uid="{00000000-0010-0000-0000-00000B000000}" name="DATE HIRED" dataDxfId="15"/>
    <tableColumn id="28" xr3:uid="{324712F1-74E4-4495-9540-05D2A6FC6BC0}" name="Regularization date" dataDxfId="14">
      <calculatedColumnFormula>Table1[[#This Row],[DATE HIRED]]+160</calculatedColumnFormula>
    </tableColumn>
    <tableColumn id="12" xr3:uid="{00000000-0010-0000-0000-00000C000000}" name="EMPLOYMENT STATUS" dataDxfId="13"/>
    <tableColumn id="13" xr3:uid="{00000000-0010-0000-0000-00000D000000}" name="Sick Leave" dataDxfId="12"/>
    <tableColumn id="14" xr3:uid="{00000000-0010-0000-0000-00000E000000}" name="Vacation Leave" dataDxfId="11"/>
    <tableColumn id="15" xr3:uid="{00000000-0010-0000-0000-00000F000000}" name="Service Incentive Leave" dataDxfId="10"/>
    <tableColumn id="16" xr3:uid="{00000000-0010-0000-0000-000010000000}" name="Available Sick Leave" dataDxfId="9"/>
    <tableColumn id="17" xr3:uid="{00000000-0010-0000-0000-000011000000}" name="Available Vacation Leave" dataDxfId="8"/>
    <tableColumn id="18" xr3:uid="{00000000-0010-0000-0000-000012000000}" name="Available Service Incentive Leave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4" displayName="Table14" ref="A4:D49" totalsRowShown="0" headerRowDxfId="6" dataDxfId="5" tableBorderDxfId="4">
  <autoFilter ref="A4:D49" xr:uid="{00000000-0009-0000-0100-000003000000}"/>
  <tableColumns count="4">
    <tableColumn id="1" xr3:uid="{00000000-0010-0000-0200-000001000000}" name="SIGNED" dataDxfId="3"/>
    <tableColumn id="2" xr3:uid="{00000000-0010-0000-0200-000002000000}" name="LAST NAME" dataDxfId="2"/>
    <tableColumn id="3" xr3:uid="{00000000-0010-0000-0200-000003000000}" name="FIRST NAME" dataDxfId="1"/>
    <tableColumn id="4" xr3:uid="{00000000-0010-0000-0200-000004000000}" name="MIDDLE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7" dT="2025-04-15T04:35:39.00" personId="{7445FCE5-722C-4B96-96AB-2FBF9BA48CEC}" id="{882B1132-2F7C-4D3C-8633-C71A87581D5C}">
    <text>May 12 - VL</text>
  </threadedComment>
  <threadedComment ref="A9" dT="2025-04-10T03:18:48.61" personId="{7445FCE5-722C-4B96-96AB-2FBF9BA48CEC}" id="{FB753958-BA37-468C-ADBC-1BB293922F0B}">
    <text>Less 4 days</text>
  </threadedComment>
  <threadedComment ref="I16" dT="2025-08-18T02:48:25.60" personId="{7445FCE5-722C-4B96-96AB-2FBF9BA48CEC}" id="{58C7B2A1-04D7-4527-B712-E5A58B8AD617}">
    <text>AU Holiday</text>
  </threadedComment>
  <threadedComment ref="A21" dT="2025-04-15T01:50:18.30" personId="{7445FCE5-722C-4B96-96AB-2FBF9BA48CEC}" id="{C7489873-66FA-4C53-9B8D-F2D617E6A05C}">
    <text>VL - May 12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7" dT="2025-04-15T04:35:39.00" personId="{7445FCE5-722C-4B96-96AB-2FBF9BA48CEC}" id="{6EBA624A-033D-476A-BC41-777BB6158193}">
    <text>May 12 - VL</text>
  </threadedComment>
  <threadedComment ref="A9" dT="2025-04-10T03:18:48.61" personId="{7445FCE5-722C-4B96-96AB-2FBF9BA48CEC}" id="{8A60B0B2-3917-4447-85E3-732124135072}">
    <text>Less 4 days</text>
  </threadedComment>
  <threadedComment ref="A23" dT="2025-04-15T01:50:18.30" personId="{7445FCE5-722C-4B96-96AB-2FBF9BA48CEC}" id="{D7EEFF56-450A-4F07-BEC9-0818A728A1C8}">
    <text>VL - May 12</text>
  </threadedComment>
  <threadedComment ref="X49" dT="2025-05-20T06:08:52.14" personId="{7445FCE5-722C-4B96-96AB-2FBF9BA48CEC}" id="{BAD0605C-107B-45B5-81AC-D385D66194BB}">
    <text>For checking SL credits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7" dT="2025-04-15T04:35:39.00" personId="{7445FCE5-722C-4B96-96AB-2FBF9BA48CEC}" id="{9629917D-5698-4810-8665-5DC438E90BE8}">
    <text>May 12 - VL</text>
  </threadedComment>
  <threadedComment ref="A9" dT="2025-04-10T03:18:48.61" personId="{7445FCE5-722C-4B96-96AB-2FBF9BA48CEC}" id="{EDA23C85-8E3A-46B7-B2EB-D52620AC0067}">
    <text>Less 4 days</text>
  </threadedComment>
  <threadedComment ref="A23" dT="2025-04-15T01:50:18.30" personId="{7445FCE5-722C-4B96-96AB-2FBF9BA48CEC}" id="{25BDFF77-F061-4E78-B3D5-559E987D00FE}">
    <text>VL - May 12</text>
  </threadedComment>
  <threadedComment ref="X47" dT="2025-05-20T06:08:52.14" personId="{7445FCE5-722C-4B96-96AB-2FBF9BA48CEC}" id="{6659F815-49F4-4C4F-97D8-A7FB7A6C6445}">
    <text>For checking SL credits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7" dT="2025-04-15T04:35:39.00" personId="{7445FCE5-722C-4B96-96AB-2FBF9BA48CEC}" id="{D4DBC4D2-FB6A-40A1-93E7-7C734DB853EB}">
    <text>May 12 - VL</text>
  </threadedComment>
  <threadedComment ref="A9" dT="2025-04-10T03:18:48.61" personId="{7445FCE5-722C-4B96-96AB-2FBF9BA48CEC}" id="{092E3C0C-CC0C-47A8-9FE5-76113EEE07F0}">
    <text>Less 4 days</text>
  </threadedComment>
  <threadedComment ref="A23" dT="2025-04-15T01:50:18.30" personId="{7445FCE5-722C-4B96-96AB-2FBF9BA48CEC}" id="{C7AD6533-4858-42ED-9B04-3C8E230F45CC}">
    <text>VL - May 12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8" dT="2025-04-15T04:35:39.00" personId="{7445FCE5-722C-4B96-96AB-2FBF9BA48CEC}" id="{4C20DB77-5C69-4026-AF65-ED1234BBAC9B}">
    <text>May 12 - VL</text>
  </threadedComment>
  <threadedComment ref="A10" dT="2025-04-10T03:18:48.61" personId="{7445FCE5-722C-4B96-96AB-2FBF9BA48CEC}" id="{E680573C-EC9A-4EC0-9D70-149D5C6DA681}">
    <text>Less 4 days</text>
  </threadedComment>
  <threadedComment ref="B18" dT="2025-08-18T05:17:15.96" personId="{7445FCE5-722C-4B96-96AB-2FBF9BA48CEC}" id="{36ADB802-4DF2-48B9-B891-07FEBF6391D4}">
    <text>Should be 6.5</text>
  </threadedComment>
  <threadedComment ref="A25" dT="2025-04-15T01:50:18.30" personId="{7445FCE5-722C-4B96-96AB-2FBF9BA48CEC}" id="{FCC194B7-2217-4007-9D8A-FDD83B8E9C89}">
    <text>VL - May 12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8" dT="2025-04-15T04:35:39.00" personId="{7445FCE5-722C-4B96-96AB-2FBF9BA48CEC}" id="{A4219A27-9C44-4DEB-B637-76EE192287ED}">
    <text>May 12 - VL</text>
  </threadedComment>
  <threadedComment ref="A11" dT="2025-04-10T03:18:48.61" personId="{7445FCE5-722C-4B96-96AB-2FBF9BA48CEC}" id="{AF603A44-2021-42D8-BE72-8F05D4455FF3}">
    <text>Less 4 days</text>
  </threadedComment>
  <threadedComment ref="B19" dT="2025-08-18T05:17:15.96" personId="{7445FCE5-722C-4B96-96AB-2FBF9BA48CEC}" id="{280FB8F3-C9B9-4776-BFA4-80A26BAA19E2}">
    <text>Should be 6.5</text>
  </threadedComment>
  <threadedComment ref="A26" dT="2025-04-15T01:50:18.30" personId="{7445FCE5-722C-4B96-96AB-2FBF9BA48CEC}" id="{7D0D8C51-BCC5-41AF-8C71-0CC3118EF670}">
    <text>VL - May 12</text>
  </threadedComment>
  <threadedComment ref="AH35" dT="2025-09-30T02:36:13.34" personId="{7445FCE5-722C-4B96-96AB-2FBF9BA48CEC}" id="{02F84979-E830-4127-9224-6655AFB78635}">
    <text>7AM - 6PM</text>
  </threadedComment>
  <threadedComment ref="AH42" dT="2025-09-30T02:37:08.07" personId="{7445FCE5-722C-4B96-96AB-2FBF9BA48CEC}" id="{321F8065-4F15-492A-A4D9-57737030945A}">
    <text>7AM - 6PM</text>
  </threadedComment>
  <threadedComment ref="AH56" dT="2025-09-30T02:35:39.37" personId="{7445FCE5-722C-4B96-96AB-2FBF9BA48CEC}" id="{9F3C2BAC-AE8C-496F-A8F6-F4DB31412D2F}">
    <text>6AM - 3PM</text>
  </threadedComment>
  <threadedComment ref="AH62" dT="2025-09-30T02:36:37.74" personId="{7445FCE5-722C-4B96-96AB-2FBF9BA48CEC}" id="{4D01B363-20E4-4752-9870-AF30FF1208B8}">
    <text>7AM - 6PM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9" dT="2025-04-15T04:35:39.00" personId="{7445FCE5-722C-4B96-96AB-2FBF9BA48CEC}" id="{C3CEE26D-1765-446E-8ECF-602DF0865E78}">
    <text>May 12 - VL</text>
  </threadedComment>
  <threadedComment ref="A12" dT="2025-04-10T03:18:48.61" personId="{7445FCE5-722C-4B96-96AB-2FBF9BA48CEC}" id="{9C4593AB-1E5D-4E76-8890-2BBD24352DD9}">
    <text>Less 4 days</text>
  </threadedComment>
  <threadedComment ref="B21" dT="2025-08-18T05:17:15.96" personId="{7445FCE5-722C-4B96-96AB-2FBF9BA48CEC}" id="{0112843E-9A70-4DAE-AC80-2D13F8C23C2E}">
    <text>Should be 6.5</text>
  </threadedComment>
  <threadedComment ref="A28" dT="2025-04-15T01:50:18.30" personId="{7445FCE5-722C-4B96-96AB-2FBF9BA48CEC}" id="{8368421A-49E0-4A70-9C71-FE4455102576}">
    <text>VL - May 12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A9" dT="2025-04-15T04:35:39.00" personId="{7445FCE5-722C-4B96-96AB-2FBF9BA48CEC}" id="{1A99B57F-A0F5-4848-832C-A0670DCBADBB}">
    <text>May 12 - VL</text>
  </threadedComment>
  <threadedComment ref="A12" dT="2025-04-10T03:18:48.61" personId="{7445FCE5-722C-4B96-96AB-2FBF9BA48CEC}" id="{DA0B0ED5-1DD7-4299-8268-2300B6F680A6}">
    <text>Less 4 days</text>
  </threadedComment>
  <threadedComment ref="B21" dT="2025-08-18T05:17:15.96" personId="{7445FCE5-722C-4B96-96AB-2FBF9BA48CEC}" id="{FD378459-D26F-449D-9729-B32AE60D3A71}">
    <text>Should be 6.5</text>
  </threadedComment>
  <threadedComment ref="A28" dT="2025-04-15T01:50:18.30" personId="{7445FCE5-722C-4B96-96AB-2FBF9BA48CEC}" id="{7209948C-0896-446B-B7F2-77371BE9EBB4}">
    <text>VL - May 12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10" dT="2025-04-15T04:35:39.00" personId="{7445FCE5-722C-4B96-96AB-2FBF9BA48CEC}" id="{738DB168-ACF7-43A8-A830-C7866C524073}">
    <text>May 12 - VL</text>
  </threadedComment>
  <threadedComment ref="A13" dT="2025-04-10T03:18:48.61" personId="{7445FCE5-722C-4B96-96AB-2FBF9BA48CEC}" id="{3AA9552B-F5C9-4A15-B7B3-BD91F5B11C74}">
    <text>Less 4 days</text>
  </threadedComment>
  <threadedComment ref="B23" dT="2025-08-18T05:17:15.96" personId="{7445FCE5-722C-4B96-96AB-2FBF9BA48CEC}" id="{D67E09D7-D4D5-4750-918C-F1F06D509FEE}">
    <text>Should be 6.5</text>
  </threadedComment>
  <threadedComment ref="A32" dT="2025-04-15T01:50:18.30" personId="{7445FCE5-722C-4B96-96AB-2FBF9BA48CEC}" id="{C2356562-64BF-4BB6-8CE0-9B949FF70E1E}">
    <text>VL - May 12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E3" dT="2025-12-29T23:28:16.17" personId="{7445FCE5-722C-4B96-96AB-2FBF9BA48CEC}" id="{88E44E36-2903-46CF-B4A4-C78E9E3A905C}">
    <text>Jan 2</text>
  </threadedComment>
  <threadedComment ref="F3" dT="2025-12-29T23:28:24.96" personId="{7445FCE5-722C-4B96-96AB-2FBF9BA48CEC}" id="{A4C3B35F-AB8C-466D-81B8-94748F38B84D}">
    <text>Jan 3</text>
  </threadedComment>
  <threadedComment ref="G3" dT="2025-12-29T23:28:31.44" personId="{7445FCE5-722C-4B96-96AB-2FBF9BA48CEC}" id="{41B8D5EB-1936-45C0-A40A-4E61D82E0477}">
    <text>March 27</text>
  </threadedComment>
  <threadedComment ref="H3" dT="2025-12-29T23:28:37.66" personId="{7445FCE5-722C-4B96-96AB-2FBF9BA48CEC}" id="{FC8ADB90-D084-4845-B851-83FF7A0C443E}">
    <text xml:space="preserve">March 28
</text>
  </threadedComment>
  <threadedComment ref="E5" dT="2025-12-31T03:36:56.39" personId="{790E13F2-8EF9-442B-9265-C5D12BBB95E1}" id="{0626515A-D2C9-4019-9EF8-6F2806AB27CF}">
    <text>Jan 2</text>
  </threadedComment>
  <threadedComment ref="E6" dT="2025-12-29T23:29:13.16" personId="{7445FCE5-722C-4B96-96AB-2FBF9BA48CEC}" id="{EF930DC5-3795-44F8-B444-C14B11FB19C2}">
    <text>Jan 2</text>
  </threadedComment>
  <threadedComment ref="E9" dT="2025-12-29T23:29:43.04" personId="{7445FCE5-722C-4B96-96AB-2FBF9BA48CEC}" id="{D5DC3B85-96B5-41C6-99B9-A39AE8700ED6}">
    <text xml:space="preserve">Jan 2
</text>
  </threadedComment>
  <threadedComment ref="E10" dT="2025-12-29T23:29:59.45" personId="{7445FCE5-722C-4B96-96AB-2FBF9BA48CEC}" id="{2AA355BC-70F4-4820-8F57-42D6DFB75CA6}">
    <text>Jan 2</text>
  </threadedComment>
  <threadedComment ref="A11" dT="2025-04-15T04:35:39.00" personId="{7445FCE5-722C-4B96-96AB-2FBF9BA48CEC}" id="{136A999C-4D03-4A15-8197-85516A80F72C}">
    <text>May 12 - VL</text>
  </threadedComment>
  <threadedComment ref="E11" dT="2025-12-29T23:42:44.73" personId="{7445FCE5-722C-4B96-96AB-2FBF9BA48CEC}" id="{82F39D33-947D-4EEC-B00F-71FD42FCEDAD}">
    <text>Jan 12</text>
  </threadedComment>
  <threadedComment ref="F11" dT="2025-12-29T23:42:54.32" personId="{7445FCE5-722C-4B96-96AB-2FBF9BA48CEC}" id="{2723D4B0-62C5-4D5A-AF88-2EC684223DB6}">
    <text>Jan 13</text>
  </threadedComment>
  <threadedComment ref="G11" dT="2025-12-29T23:43:00.27" personId="{7445FCE5-722C-4B96-96AB-2FBF9BA48CEC}" id="{902B4B57-EFD7-4351-B56B-38BF83357AEB}">
    <text>Jan 14</text>
  </threadedComment>
  <threadedComment ref="H11" dT="2025-12-29T23:43:07.27" personId="{7445FCE5-722C-4B96-96AB-2FBF9BA48CEC}" id="{4B67079F-FBE2-4A24-B994-BD18CB0430D4}">
    <text>Jan 15</text>
  </threadedComment>
  <threadedComment ref="I11" dT="2025-12-29T23:43:16.56" personId="{7445FCE5-722C-4B96-96AB-2FBF9BA48CEC}" id="{D9BDAD7F-49B9-49E7-9FDD-0D542299379E}">
    <text>Jan 19</text>
  </threadedComment>
  <threadedComment ref="J11" dT="2025-12-29T23:43:22.71" personId="{7445FCE5-722C-4B96-96AB-2FBF9BA48CEC}" id="{85E97F22-A4B4-4940-BC99-ACE6A4BFBE25}">
    <text>Jan 20</text>
  </threadedComment>
  <threadedComment ref="A14" dT="2025-04-10T03:18:48.61" personId="{7445FCE5-722C-4B96-96AB-2FBF9BA48CEC}" id="{13741C04-AD8A-4ACD-9504-4D6FFE52DEBF}">
    <text>Less 4 days</text>
  </threadedComment>
  <threadedComment ref="E15" dT="2025-12-29T23:31:27.97" personId="{7445FCE5-722C-4B96-96AB-2FBF9BA48CEC}" id="{7AD0A13E-337E-40A9-940C-FAFE6F644538}">
    <text>Jan 2</text>
  </threadedComment>
  <threadedComment ref="E16" dT="2026-01-01T23:00:33.16" personId="{7445FCE5-722C-4B96-96AB-2FBF9BA48CEC}" id="{932E9A67-8AE0-495A-8665-0E60A8358B20}">
    <text>Jan 2</text>
  </threadedComment>
  <threadedComment ref="F16" dT="2026-01-01T23:03:25.09" personId="{7445FCE5-722C-4B96-96AB-2FBF9BA48CEC}" id="{4ECBFB10-B048-4026-B44B-F18286C7937C}">
    <text>Jan 5</text>
  </threadedComment>
  <threadedComment ref="E17" dT="2025-12-29T23:31:41.95" personId="{7445FCE5-722C-4B96-96AB-2FBF9BA48CEC}" id="{8E899FD4-9965-4EE8-B335-3BE1460417C9}">
    <text xml:space="preserve">Jan 2 </text>
  </threadedComment>
  <threadedComment ref="E19" dT="2025-12-29T23:58:13.58" personId="{7445FCE5-722C-4B96-96AB-2FBF9BA48CEC}" id="{7CCE3839-388A-40E5-A986-76F86464EE3B}">
    <text>Jan 14</text>
  </threadedComment>
  <threadedComment ref="F19" dT="2025-12-29T23:58:43.24" personId="{7445FCE5-722C-4B96-96AB-2FBF9BA48CEC}" id="{962936CD-5548-4243-B16A-97B3560A5D1C}">
    <text>Jan 15</text>
  </threadedComment>
  <threadedComment ref="E20" dT="2025-12-29T23:32:15.49" personId="{7445FCE5-722C-4B96-96AB-2FBF9BA48CEC}" id="{85F767EC-85D8-47F2-A53B-9D3E40D30881}">
    <text>Jan 2</text>
  </threadedComment>
  <threadedComment ref="E27" dT="2025-12-29T23:32:53.58" personId="{7445FCE5-722C-4B96-96AB-2FBF9BA48CEC}" id="{6DC3884C-281F-4F2E-91FF-8315543702B6}">
    <text>Jan 4</text>
  </threadedComment>
  <threadedComment ref="E30" dT="2025-12-29T23:33:12.40" personId="{7445FCE5-722C-4B96-96AB-2FBF9BA48CEC}" id="{820A62AD-E17F-47FC-82DB-99B95DF5CCD3}">
    <text>Jan 2</text>
  </threadedComment>
  <threadedComment ref="F30" dT="2025-12-29T23:33:39.60" personId="{7445FCE5-722C-4B96-96AB-2FBF9BA48CEC}" id="{938678F8-8340-4361-A58E-ABD630FC67EB}">
    <text>Jan 19</text>
  </threadedComment>
  <threadedComment ref="G30" dT="2025-12-29T23:33:54.46" personId="{7445FCE5-722C-4B96-96AB-2FBF9BA48CEC}" id="{53619052-D6F3-468F-97AF-554DF478541B}">
    <text>May 27</text>
  </threadedComment>
  <threadedComment ref="H30" dT="2025-12-29T23:34:00.85" personId="{7445FCE5-722C-4B96-96AB-2FBF9BA48CEC}" id="{F3F70A54-7995-48BE-9FCE-8A4F2B028D4D}">
    <text>May 28</text>
  </threadedComment>
  <threadedComment ref="I30" dT="2025-12-29T23:34:06.82" personId="{7445FCE5-722C-4B96-96AB-2FBF9BA48CEC}" id="{0978DE56-AAD8-4101-90DD-937462498DBD}">
    <text>May 29</text>
  </threadedComment>
  <threadedComment ref="A32" dT="2025-04-15T01:50:18.30" personId="{7445FCE5-722C-4B96-96AB-2FBF9BA48CEC}" id="{F3B9BC0C-921B-4C8D-997B-D1286E864857}">
    <text>VL - May 12</text>
  </threadedComment>
  <threadedComment ref="E35" dT="2025-12-29T23:34:42.07" personId="{7445FCE5-722C-4B96-96AB-2FBF9BA48CEC}" id="{802D5729-FF1A-46CB-A186-128062A0E59F}">
    <text>Jan 2</text>
  </threadedComment>
  <threadedComment ref="E40" dT="2025-12-29T23:34:58.00" personId="{7445FCE5-722C-4B96-96AB-2FBF9BA48CEC}" id="{C10BACA2-D441-4F2B-A42B-7EBDBA8A50B0}">
    <text>Jan 2</text>
  </threadedComment>
  <threadedComment ref="E42" dT="2025-12-29T23:35:21.45" personId="{7445FCE5-722C-4B96-96AB-2FBF9BA48CEC}" id="{1C99D6B9-E780-4FFF-83EE-2C2C02926BBA}">
    <text>Jan 2</text>
  </threadedComment>
  <threadedComment ref="E46" dT="2025-12-29T23:35:32.94" personId="{7445FCE5-722C-4B96-96AB-2FBF9BA48CEC}" id="{5CCE6D72-F9DF-4DBF-BCBD-462BF6CD8B5F}">
    <text>Jan 2</text>
  </threadedComment>
  <threadedComment ref="F46" dT="2025-12-29T23:36:24.77" personId="{7445FCE5-722C-4B96-96AB-2FBF9BA48CEC}" id="{76144222-E367-49CA-8AC2-155958634366}">
    <text>Jan 5 - 9</text>
  </threadedComment>
  <threadedComment ref="E47" dT="2025-12-31T03:35:10.78" personId="{790E13F2-8EF9-442B-9265-C5D12BBB95E1}" id="{8459CDDA-2E2D-473E-BF27-680AB31A0D1B}">
    <text>Jan 2</text>
  </threadedComment>
  <threadedComment ref="F47" dT="2025-12-31T03:35:29.78" personId="{790E13F2-8EF9-442B-9265-C5D12BBB95E1}" id="{17A9229F-7781-4D82-A364-A8C0B5D23E0E}">
    <text>Jan 6</text>
  </threadedComment>
  <threadedComment ref="E49" dT="2025-12-29T23:36:46.56" personId="{7445FCE5-722C-4B96-96AB-2FBF9BA48CEC}" id="{4F18338A-63AD-459A-A613-0702C1B47C60}">
    <text>Jan 11 - 14</text>
  </threadedComment>
  <threadedComment ref="I49" dT="2025-12-29T23:40:14.35" personId="{7445FCE5-722C-4B96-96AB-2FBF9BA48CEC}" id="{A3923F97-86DE-4BB1-BF7A-9BA88B356EDE}">
    <text>Jan 25</text>
  </threadedComment>
  <threadedComment ref="E51" dT="2025-12-29T23:37:09.50" personId="{7445FCE5-722C-4B96-96AB-2FBF9BA48CEC}" id="{DC0A3D74-0324-44B2-AC4F-BEE5D64457DF}">
    <text>Jan 2 - 3</text>
  </threadedComment>
  <threadedComment ref="E54" dT="2025-12-29T23:37:36.78" personId="{7445FCE5-722C-4B96-96AB-2FBF9BA48CEC}" id="{5E4B3C3F-4479-4775-A7CF-E3A8EE0A6732}">
    <text>Jan 2</text>
  </threadedComment>
  <threadedComment ref="E55" dT="2025-12-29T23:37:53.97" personId="{7445FCE5-722C-4B96-96AB-2FBF9BA48CEC}" id="{20A6368D-9CEB-42F0-BAF3-D5130BD00BEB}">
    <text>Jan 2</text>
  </threadedComment>
  <threadedComment ref="E59" dT="2025-12-29T23:38:08.66" personId="{7445FCE5-722C-4B96-96AB-2FBF9BA48CEC}" id="{AC5A2739-F38D-437A-B065-08D936B8B222}">
    <text>Jan 2</text>
  </threadedComment>
  <threadedComment ref="E60" dT="2026-01-01T23:21:56.38" personId="{7445FCE5-722C-4B96-96AB-2FBF9BA48CEC}" id="{F8994BD0-8DB5-4281-A862-22DDDA320AD0}">
    <text>Jan 2</text>
  </threadedComment>
  <threadedComment ref="F60" dT="2026-01-01T23:22:02.49" personId="{7445FCE5-722C-4B96-96AB-2FBF9BA48CEC}" id="{7F8EBF58-57B7-472A-8D73-075CE571D638}">
    <text>Jan 5</text>
  </threadedComment>
  <threadedComment ref="G60" dT="2026-01-01T23:22:07.10" personId="{7445FCE5-722C-4B96-96AB-2FBF9BA48CEC}" id="{D533FD64-2C92-4D7A-8827-91A205B07D85}">
    <text>Jan 6</text>
  </threadedComment>
  <threadedComment ref="E62" dT="2025-12-29T23:38:23.19" personId="{7445FCE5-722C-4B96-96AB-2FBF9BA48CEC}" id="{69654EE3-F229-42F1-8A80-80EF6EB99182}">
    <text>Jan 2</text>
  </threadedComment>
  <threadedComment ref="E64" dT="2025-12-29T23:38:40.47" personId="{7445FCE5-722C-4B96-96AB-2FBF9BA48CEC}" id="{1DE6A760-1042-429D-99DB-4FFA594AB80C}">
    <text>Jan 2</text>
  </threadedComment>
  <threadedComment ref="E65" dT="2025-12-29T23:38:48.50" personId="{7445FCE5-722C-4B96-96AB-2FBF9BA48CEC}" id="{DA4ED330-A56C-4792-BF76-B2073BF2CF7E}">
    <text>Jan 2</text>
  </threadedComment>
  <threadedComment ref="F65" dT="2025-12-29T23:39:25.43" personId="{7445FCE5-722C-4B96-96AB-2FBF9BA48CEC}" id="{23C13B3E-9093-4A23-A3E7-DC7C4D4A66EB}">
    <text>Feb 27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A19" dT="2025-12-30T01:23:47.22" personId="{7445FCE5-722C-4B96-96AB-2FBF9BA48CEC}" id="{6EB46AA4-0636-46C7-A7F3-E71DFF9F2852}">
    <text>10 Loaned leave credits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4"/>
  <sheetViews>
    <sheetView showGridLines="0" zoomScale="115" zoomScaleNormal="115" workbookViewId="0">
      <pane xSplit="4" ySplit="2" topLeftCell="E3" activePane="bottomRight" state="frozen"/>
      <selection pane="topRight" activeCell="A5" sqref="A5:A13"/>
      <selection pane="bottomLeft" activeCell="A5" sqref="A5:A13"/>
      <selection pane="bottomRight" activeCell="B3" sqref="B3"/>
    </sheetView>
  </sheetViews>
  <sheetFormatPr defaultColWidth="9.33203125" defaultRowHeight="12.75" x14ac:dyDescent="0.2"/>
  <cols>
    <col min="1" max="1" width="10.1640625" style="2" bestFit="1" customWidth="1"/>
    <col min="2" max="2" width="15" style="2" bestFit="1" customWidth="1"/>
    <col min="3" max="3" width="19.83203125" style="2" bestFit="1" customWidth="1"/>
    <col min="4" max="4" width="16.5" style="2" customWidth="1"/>
    <col min="5" max="5" width="23.5" style="42" customWidth="1"/>
    <col min="6" max="6" width="19.5" style="14" customWidth="1"/>
    <col min="7" max="7" width="27.1640625" style="14" bestFit="1" customWidth="1"/>
    <col min="8" max="8" width="20.6640625" style="15" bestFit="1" customWidth="1"/>
    <col min="9" max="9" width="19.5" style="15" customWidth="1"/>
    <col min="10" max="10" width="28.1640625" style="16" bestFit="1" customWidth="1"/>
    <col min="11" max="11" width="22.83203125" style="17" customWidth="1"/>
    <col min="12" max="12" width="29.33203125" style="18" bestFit="1" customWidth="1"/>
    <col min="13" max="13" width="37.1640625" style="19" bestFit="1" customWidth="1"/>
    <col min="14" max="16384" width="9.33203125" style="2"/>
  </cols>
  <sheetData>
    <row r="1" spans="1:13" x14ac:dyDescent="0.2">
      <c r="A1" s="1" t="s">
        <v>0</v>
      </c>
      <c r="E1" s="39"/>
      <c r="F1" s="2"/>
      <c r="G1" s="2"/>
      <c r="H1" s="2"/>
      <c r="I1" s="2"/>
      <c r="J1" s="2"/>
      <c r="K1" s="2"/>
      <c r="L1" s="2"/>
      <c r="M1" s="2"/>
    </row>
    <row r="2" spans="1:13" x14ac:dyDescent="0.2">
      <c r="A2" s="3" t="s">
        <v>1</v>
      </c>
      <c r="B2" s="3" t="s">
        <v>2</v>
      </c>
      <c r="C2" s="3" t="s">
        <v>3</v>
      </c>
      <c r="D2" s="3" t="s">
        <v>4</v>
      </c>
      <c r="E2" s="40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x14ac:dyDescent="0.2">
      <c r="A3" s="4" t="s">
        <v>14</v>
      </c>
      <c r="B3" s="30" t="s">
        <v>15</v>
      </c>
      <c r="C3" s="5" t="s">
        <v>16</v>
      </c>
      <c r="D3" s="5" t="s">
        <v>17</v>
      </c>
      <c r="E3" s="41">
        <v>44796</v>
      </c>
      <c r="F3" s="28">
        <f>Table1[[#This Row],[DATE HIRED]]+184</f>
        <v>44980</v>
      </c>
      <c r="G3" s="6" t="s">
        <v>18</v>
      </c>
      <c r="H3" s="7"/>
      <c r="I3" s="9"/>
      <c r="J3" s="10"/>
      <c r="K3" s="9"/>
      <c r="L3" s="10"/>
      <c r="M3" s="12"/>
    </row>
    <row r="4" spans="1:13" x14ac:dyDescent="0.2">
      <c r="A4" s="4" t="s">
        <v>19</v>
      </c>
      <c r="B4" s="30" t="s">
        <v>20</v>
      </c>
      <c r="C4" s="5" t="s">
        <v>21</v>
      </c>
      <c r="D4" s="5" t="s">
        <v>22</v>
      </c>
      <c r="E4" s="41">
        <v>44796</v>
      </c>
      <c r="F4" s="28">
        <f>Table1[[#This Row],[DATE HIRED]]+184</f>
        <v>44980</v>
      </c>
      <c r="G4" s="6" t="s">
        <v>18</v>
      </c>
      <c r="H4" s="7"/>
      <c r="I4" s="8"/>
      <c r="J4" s="9"/>
      <c r="K4" s="10"/>
      <c r="L4" s="10"/>
      <c r="M4" s="12"/>
    </row>
    <row r="5" spans="1:13" x14ac:dyDescent="0.2">
      <c r="A5" s="4" t="s">
        <v>23</v>
      </c>
      <c r="B5" s="30" t="s">
        <v>24</v>
      </c>
      <c r="C5" s="5" t="s">
        <v>25</v>
      </c>
      <c r="D5" s="5" t="s">
        <v>26</v>
      </c>
      <c r="E5" s="41">
        <v>44798</v>
      </c>
      <c r="F5" s="28">
        <f>Table1[[#This Row],[DATE HIRED]]+184</f>
        <v>44982</v>
      </c>
      <c r="G5" s="6" t="s">
        <v>18</v>
      </c>
      <c r="H5" s="7"/>
      <c r="I5" s="9"/>
      <c r="J5" s="10"/>
      <c r="K5" s="9"/>
      <c r="L5" s="10"/>
      <c r="M5" s="12"/>
    </row>
    <row r="6" spans="1:13" x14ac:dyDescent="0.2">
      <c r="A6" s="4" t="s">
        <v>27</v>
      </c>
      <c r="B6" s="30" t="s">
        <v>28</v>
      </c>
      <c r="C6" s="5" t="s">
        <v>29</v>
      </c>
      <c r="D6" s="5" t="s">
        <v>30</v>
      </c>
      <c r="E6" s="41">
        <v>44805</v>
      </c>
      <c r="F6" s="28">
        <f>Table1[[#This Row],[DATE HIRED]]+181</f>
        <v>44986</v>
      </c>
      <c r="G6" s="6" t="s">
        <v>18</v>
      </c>
      <c r="H6" s="7"/>
      <c r="I6" s="8"/>
      <c r="J6" s="9"/>
      <c r="K6" s="10"/>
      <c r="L6" s="11"/>
      <c r="M6" s="12"/>
    </row>
    <row r="7" spans="1:13" x14ac:dyDescent="0.2">
      <c r="A7" s="4" t="s">
        <v>31</v>
      </c>
      <c r="B7" s="30" t="s">
        <v>32</v>
      </c>
      <c r="C7" s="5" t="s">
        <v>33</v>
      </c>
      <c r="D7" s="5" t="s">
        <v>34</v>
      </c>
      <c r="E7" s="41">
        <v>44805</v>
      </c>
      <c r="F7" s="28">
        <f>Table1[[#This Row],[DATE HIRED]]+181</f>
        <v>44986</v>
      </c>
      <c r="G7" s="6" t="s">
        <v>18</v>
      </c>
      <c r="H7" s="7"/>
      <c r="I7" s="8"/>
      <c r="J7" s="13"/>
      <c r="K7" s="10"/>
      <c r="L7" s="11"/>
      <c r="M7" s="12"/>
    </row>
    <row r="8" spans="1:13" x14ac:dyDescent="0.2">
      <c r="A8" s="4" t="s">
        <v>35</v>
      </c>
      <c r="B8" s="30" t="s">
        <v>36</v>
      </c>
      <c r="C8" s="5" t="s">
        <v>37</v>
      </c>
      <c r="D8" s="5" t="s">
        <v>38</v>
      </c>
      <c r="E8" s="41">
        <v>44810</v>
      </c>
      <c r="F8" s="28">
        <f>Table1[[#This Row],[DATE HIRED]]+181</f>
        <v>44991</v>
      </c>
      <c r="G8" s="6" t="s">
        <v>18</v>
      </c>
      <c r="H8" s="7"/>
      <c r="I8" s="8"/>
      <c r="J8" s="9"/>
      <c r="K8" s="10"/>
      <c r="L8" s="11"/>
      <c r="M8" s="12"/>
    </row>
    <row r="9" spans="1:13" x14ac:dyDescent="0.2">
      <c r="A9" s="4" t="s">
        <v>39</v>
      </c>
      <c r="B9" s="30" t="s">
        <v>40</v>
      </c>
      <c r="C9" s="5" t="s">
        <v>41</v>
      </c>
      <c r="D9" s="5" t="s">
        <v>42</v>
      </c>
      <c r="E9" s="41">
        <v>44823</v>
      </c>
      <c r="F9" s="28">
        <f>Table1[[#This Row],[DATE HIRED]]+181</f>
        <v>45004</v>
      </c>
      <c r="G9" s="6" t="s">
        <v>18</v>
      </c>
      <c r="H9" s="7"/>
      <c r="I9" s="8"/>
      <c r="J9" s="9"/>
      <c r="K9" s="10"/>
      <c r="L9" s="11"/>
      <c r="M9" s="12"/>
    </row>
    <row r="10" spans="1:13" x14ac:dyDescent="0.2">
      <c r="A10" s="4" t="s">
        <v>43</v>
      </c>
      <c r="B10" s="30" t="s">
        <v>44</v>
      </c>
      <c r="C10" s="5" t="s">
        <v>45</v>
      </c>
      <c r="D10" s="5" t="s">
        <v>17</v>
      </c>
      <c r="E10" s="41">
        <v>44830</v>
      </c>
      <c r="F10" s="28">
        <f>Table1[[#This Row],[DATE HIRED]]+181</f>
        <v>45011</v>
      </c>
      <c r="G10" s="6" t="s">
        <v>18</v>
      </c>
      <c r="H10" s="7"/>
      <c r="I10" s="8"/>
      <c r="J10" s="9"/>
      <c r="K10" s="10"/>
      <c r="L10" s="11"/>
      <c r="M10" s="12"/>
    </row>
    <row r="11" spans="1:13" x14ac:dyDescent="0.2">
      <c r="A11" s="4" t="s">
        <v>46</v>
      </c>
      <c r="B11" s="30" t="s">
        <v>47</v>
      </c>
      <c r="C11" s="5" t="s">
        <v>48</v>
      </c>
      <c r="D11" s="5" t="s">
        <v>49</v>
      </c>
      <c r="E11" s="41">
        <v>44830</v>
      </c>
      <c r="F11" s="28">
        <f>Table1[[#This Row],[DATE HIRED]]+181</f>
        <v>45011</v>
      </c>
      <c r="G11" s="6" t="s">
        <v>18</v>
      </c>
      <c r="H11" s="7"/>
      <c r="I11" s="8"/>
      <c r="J11" s="9"/>
      <c r="K11" s="10"/>
      <c r="L11" s="11"/>
      <c r="M11" s="12"/>
    </row>
    <row r="12" spans="1:13" x14ac:dyDescent="0.2">
      <c r="A12" s="4" t="s">
        <v>50</v>
      </c>
      <c r="B12" s="5" t="s">
        <v>51</v>
      </c>
      <c r="C12" s="5" t="s">
        <v>52</v>
      </c>
      <c r="D12" s="5" t="s">
        <v>53</v>
      </c>
      <c r="E12" s="41">
        <v>44963</v>
      </c>
      <c r="F12" s="28">
        <f>Table1[[#This Row],[DATE HIRED]]+150</f>
        <v>45113</v>
      </c>
      <c r="G12" s="6" t="s">
        <v>18</v>
      </c>
      <c r="H12" s="8"/>
      <c r="I12" s="8"/>
      <c r="J12" s="9"/>
      <c r="K12" s="10"/>
      <c r="L12" s="11"/>
      <c r="M12" s="12"/>
    </row>
    <row r="13" spans="1:13" s="48" customFormat="1" x14ac:dyDescent="0.2">
      <c r="A13" s="31" t="s">
        <v>54</v>
      </c>
      <c r="B13" s="30" t="s">
        <v>55</v>
      </c>
      <c r="C13" s="30" t="s">
        <v>56</v>
      </c>
      <c r="D13" s="30" t="s">
        <v>57</v>
      </c>
      <c r="E13" s="46">
        <v>45028</v>
      </c>
      <c r="F13" s="47">
        <f>Table1[[#This Row],[DATE HIRED]]+180</f>
        <v>45208</v>
      </c>
      <c r="G13" s="50" t="s">
        <v>18</v>
      </c>
      <c r="H13" s="51"/>
      <c r="I13" s="32"/>
      <c r="J13" s="52"/>
      <c r="K13" s="34"/>
      <c r="L13" s="53"/>
      <c r="M13" s="54"/>
    </row>
    <row r="14" spans="1:13" s="48" customFormat="1" x14ac:dyDescent="0.2">
      <c r="A14" s="31" t="s">
        <v>58</v>
      </c>
      <c r="B14" s="49" t="s">
        <v>59</v>
      </c>
      <c r="C14" s="49" t="s">
        <v>60</v>
      </c>
      <c r="D14" s="49" t="s">
        <v>61</v>
      </c>
      <c r="E14" s="55">
        <v>45028</v>
      </c>
      <c r="F14" s="47">
        <f>Table1[[#This Row],[DATE HIRED]]+180</f>
        <v>45208</v>
      </c>
      <c r="G14" s="50" t="s">
        <v>18</v>
      </c>
      <c r="H14" s="56"/>
      <c r="I14" s="57"/>
      <c r="J14" s="33"/>
      <c r="K14" s="58"/>
      <c r="L14" s="59"/>
      <c r="M14" s="35"/>
    </row>
    <row r="15" spans="1:13" s="48" customFormat="1" x14ac:dyDescent="0.2">
      <c r="A15" s="31" t="s">
        <v>62</v>
      </c>
      <c r="B15" s="30" t="s">
        <v>63</v>
      </c>
      <c r="C15" s="30" t="s">
        <v>64</v>
      </c>
      <c r="D15" s="30" t="s">
        <v>65</v>
      </c>
      <c r="E15" s="46">
        <v>45030</v>
      </c>
      <c r="F15" s="47">
        <f>Table1[[#This Row],[DATE HIRED]]+180</f>
        <v>45210</v>
      </c>
      <c r="G15" s="50" t="s">
        <v>18</v>
      </c>
      <c r="H15" s="51"/>
      <c r="I15" s="32"/>
      <c r="J15" s="52"/>
      <c r="K15" s="34"/>
      <c r="L15" s="53"/>
      <c r="M15" s="54"/>
    </row>
    <row r="16" spans="1:13" s="48" customFormat="1" x14ac:dyDescent="0.2">
      <c r="A16" s="31" t="s">
        <v>66</v>
      </c>
      <c r="B16" s="30" t="s">
        <v>67</v>
      </c>
      <c r="C16" s="30" t="s">
        <v>68</v>
      </c>
      <c r="D16" s="30" t="s">
        <v>69</v>
      </c>
      <c r="E16" s="46">
        <v>45040</v>
      </c>
      <c r="F16" s="47">
        <f>Table1[[#This Row],[DATE HIRED]]+180</f>
        <v>45220</v>
      </c>
      <c r="G16" s="50" t="s">
        <v>18</v>
      </c>
      <c r="H16" s="51"/>
      <c r="I16" s="32"/>
      <c r="J16" s="52"/>
      <c r="K16" s="34"/>
      <c r="L16" s="53"/>
      <c r="M16" s="54"/>
    </row>
    <row r="17" spans="1:13" s="48" customFormat="1" x14ac:dyDescent="0.2">
      <c r="A17" s="31" t="s">
        <v>70</v>
      </c>
      <c r="B17" s="30" t="s">
        <v>71</v>
      </c>
      <c r="C17" s="30" t="s">
        <v>72</v>
      </c>
      <c r="D17" s="30" t="s">
        <v>73</v>
      </c>
      <c r="E17" s="46">
        <v>45048</v>
      </c>
      <c r="F17" s="47">
        <f>Table1[[#This Row],[DATE HIRED]]+180</f>
        <v>45228</v>
      </c>
      <c r="G17" s="50" t="s">
        <v>18</v>
      </c>
      <c r="H17" s="51"/>
      <c r="I17" s="32"/>
      <c r="J17" s="52"/>
      <c r="K17" s="34"/>
      <c r="L17" s="53"/>
      <c r="M17" s="54"/>
    </row>
    <row r="18" spans="1:13" s="48" customFormat="1" x14ac:dyDescent="0.2">
      <c r="A18" s="31" t="s">
        <v>74</v>
      </c>
      <c r="B18" s="30" t="s">
        <v>75</v>
      </c>
      <c r="C18" s="30" t="s">
        <v>76</v>
      </c>
      <c r="D18" s="30" t="s">
        <v>77</v>
      </c>
      <c r="E18" s="46">
        <v>45048</v>
      </c>
      <c r="F18" s="47">
        <f>Table1[[#This Row],[DATE HIRED]]+180</f>
        <v>45228</v>
      </c>
      <c r="G18" s="50" t="s">
        <v>18</v>
      </c>
      <c r="H18" s="51"/>
      <c r="I18" s="32"/>
      <c r="J18" s="52"/>
      <c r="K18" s="34"/>
      <c r="L18" s="53"/>
      <c r="M18" s="54"/>
    </row>
    <row r="19" spans="1:13" x14ac:dyDescent="0.2">
      <c r="A19" s="4" t="s">
        <v>78</v>
      </c>
      <c r="B19" s="5" t="s">
        <v>79</v>
      </c>
      <c r="C19" s="5" t="s">
        <v>80</v>
      </c>
      <c r="D19" s="5"/>
      <c r="E19" s="41">
        <v>45056</v>
      </c>
      <c r="F19" s="47">
        <f>Table1[[#This Row],[DATE HIRED]]+180</f>
        <v>45236</v>
      </c>
      <c r="G19" s="50" t="s">
        <v>18</v>
      </c>
      <c r="H19" s="7"/>
      <c r="I19" s="8"/>
      <c r="J19" s="9"/>
      <c r="K19" s="10"/>
      <c r="L19" s="11"/>
      <c r="M19" s="12"/>
    </row>
    <row r="20" spans="1:13" x14ac:dyDescent="0.2">
      <c r="A20" s="4" t="s">
        <v>81</v>
      </c>
      <c r="B20" s="5" t="s">
        <v>82</v>
      </c>
      <c r="C20" s="5" t="s">
        <v>83</v>
      </c>
      <c r="D20" s="5" t="s">
        <v>84</v>
      </c>
      <c r="E20" s="41">
        <v>45110</v>
      </c>
      <c r="F20" s="47">
        <f>Table1[[#This Row],[DATE HIRED]]+180</f>
        <v>45290</v>
      </c>
      <c r="G20" s="6" t="s">
        <v>85</v>
      </c>
      <c r="H20" s="7"/>
      <c r="I20" s="8"/>
      <c r="J20" s="9"/>
      <c r="K20" s="10"/>
      <c r="L20" s="11"/>
      <c r="M20" s="12"/>
    </row>
    <row r="21" spans="1:13" x14ac:dyDescent="0.2">
      <c r="A21" s="4" t="s">
        <v>86</v>
      </c>
      <c r="B21" s="5" t="s">
        <v>87</v>
      </c>
      <c r="C21" s="5" t="s">
        <v>88</v>
      </c>
      <c r="D21" s="5" t="s">
        <v>89</v>
      </c>
      <c r="E21" s="41">
        <v>45110</v>
      </c>
      <c r="F21" s="47">
        <f>Table1[[#This Row],[DATE HIRED]]+180</f>
        <v>45290</v>
      </c>
      <c r="G21" s="6" t="s">
        <v>85</v>
      </c>
      <c r="H21" s="7"/>
      <c r="I21" s="8"/>
      <c r="J21" s="9"/>
      <c r="K21" s="9"/>
      <c r="L21" s="11"/>
      <c r="M21" s="12"/>
    </row>
    <row r="22" spans="1:13" x14ac:dyDescent="0.2">
      <c r="A22" s="4" t="s">
        <v>90</v>
      </c>
      <c r="B22" s="5" t="s">
        <v>91</v>
      </c>
      <c r="C22" s="5" t="s">
        <v>92</v>
      </c>
      <c r="D22" s="5" t="s">
        <v>93</v>
      </c>
      <c r="E22" s="41">
        <v>45110</v>
      </c>
      <c r="F22" s="47">
        <f>Table1[[#This Row],[DATE HIRED]]+180</f>
        <v>45290</v>
      </c>
      <c r="G22" s="6" t="s">
        <v>85</v>
      </c>
      <c r="H22" s="7"/>
      <c r="I22" s="8"/>
      <c r="J22" s="9"/>
      <c r="K22" s="10"/>
      <c r="L22" s="11"/>
      <c r="M22" s="12"/>
    </row>
    <row r="23" spans="1:13" x14ac:dyDescent="0.2">
      <c r="A23" s="4" t="s">
        <v>94</v>
      </c>
      <c r="B23" s="5" t="s">
        <v>95</v>
      </c>
      <c r="C23" s="5" t="s">
        <v>96</v>
      </c>
      <c r="D23" s="5" t="s">
        <v>97</v>
      </c>
      <c r="E23" s="41">
        <v>45110</v>
      </c>
      <c r="F23" s="47">
        <f>Table1[[#This Row],[DATE HIRED]]+180</f>
        <v>45290</v>
      </c>
      <c r="G23" s="6" t="s">
        <v>85</v>
      </c>
      <c r="H23" s="7"/>
      <c r="I23" s="8"/>
      <c r="J23" s="9"/>
      <c r="K23" s="10"/>
      <c r="L23" s="11"/>
      <c r="M23" s="12"/>
    </row>
    <row r="24" spans="1:13" x14ac:dyDescent="0.2">
      <c r="A24" s="20" t="s">
        <v>98</v>
      </c>
      <c r="B24" s="21" t="s">
        <v>99</v>
      </c>
      <c r="C24" s="21" t="s">
        <v>100</v>
      </c>
      <c r="D24" s="21" t="s">
        <v>101</v>
      </c>
      <c r="E24" s="41">
        <v>45139</v>
      </c>
      <c r="F24" s="47">
        <f>Table1[[#This Row],[DATE HIRED]]+180</f>
        <v>45319</v>
      </c>
      <c r="G24" s="6" t="s">
        <v>85</v>
      </c>
      <c r="H24" s="23"/>
      <c r="I24" s="23"/>
      <c r="J24" s="24"/>
      <c r="K24" s="25"/>
      <c r="L24" s="26"/>
      <c r="M24" s="27"/>
    </row>
    <row r="25" spans="1:13" x14ac:dyDescent="0.2">
      <c r="A25" s="20" t="s">
        <v>102</v>
      </c>
      <c r="B25" s="21" t="s">
        <v>103</v>
      </c>
      <c r="C25" s="21" t="s">
        <v>104</v>
      </c>
      <c r="D25" s="21" t="s">
        <v>105</v>
      </c>
      <c r="E25" s="41">
        <v>45145</v>
      </c>
      <c r="F25" s="47">
        <f>Table1[[#This Row],[DATE HIRED]]+180</f>
        <v>45325</v>
      </c>
      <c r="G25" s="6" t="s">
        <v>85</v>
      </c>
      <c r="H25" s="43"/>
      <c r="I25" s="23"/>
      <c r="J25" s="24"/>
      <c r="K25" s="25"/>
      <c r="L25" s="26"/>
      <c r="M25" s="27"/>
    </row>
    <row r="26" spans="1:13" x14ac:dyDescent="0.2">
      <c r="A26" s="20" t="s">
        <v>106</v>
      </c>
      <c r="B26" s="21" t="s">
        <v>107</v>
      </c>
      <c r="C26" s="21" t="s">
        <v>108</v>
      </c>
      <c r="D26" s="21" t="s">
        <v>109</v>
      </c>
      <c r="E26" s="41">
        <v>45154</v>
      </c>
      <c r="F26" s="47">
        <f>Table1[[#This Row],[DATE HIRED]]+180</f>
        <v>45334</v>
      </c>
      <c r="G26" s="22" t="s">
        <v>85</v>
      </c>
      <c r="H26" s="43"/>
      <c r="I26" s="23"/>
      <c r="J26" s="24"/>
      <c r="K26" s="25"/>
      <c r="L26" s="26"/>
      <c r="M26" s="27"/>
    </row>
    <row r="27" spans="1:13" x14ac:dyDescent="0.2">
      <c r="A27" s="20" t="s">
        <v>110</v>
      </c>
      <c r="B27" s="21" t="s">
        <v>63</v>
      </c>
      <c r="C27" s="21" t="s">
        <v>111</v>
      </c>
      <c r="D27" s="21" t="s">
        <v>65</v>
      </c>
      <c r="E27" s="41">
        <v>45159</v>
      </c>
      <c r="F27" s="47">
        <f>Table1[[#This Row],[DATE HIRED]]+180</f>
        <v>45339</v>
      </c>
      <c r="G27" s="22" t="s">
        <v>85</v>
      </c>
      <c r="H27" s="43"/>
      <c r="I27" s="23"/>
      <c r="J27" s="24"/>
      <c r="K27" s="25"/>
      <c r="L27" s="26"/>
      <c r="M27" s="27"/>
    </row>
    <row r="28" spans="1:13" x14ac:dyDescent="0.2">
      <c r="A28" s="20" t="s">
        <v>112</v>
      </c>
      <c r="B28" s="21" t="s">
        <v>113</v>
      </c>
      <c r="C28" s="21" t="s">
        <v>114</v>
      </c>
      <c r="D28" s="21" t="s">
        <v>115</v>
      </c>
      <c r="E28" s="41">
        <v>45159</v>
      </c>
      <c r="F28" s="47">
        <f>Table1[[#This Row],[DATE HIRED]]+180</f>
        <v>45339</v>
      </c>
      <c r="G28" s="22" t="s">
        <v>85</v>
      </c>
      <c r="H28" s="43"/>
      <c r="I28" s="23"/>
      <c r="J28" s="24"/>
      <c r="K28" s="25"/>
      <c r="L28" s="26"/>
      <c r="M28" s="27"/>
    </row>
    <row r="29" spans="1:13" x14ac:dyDescent="0.2">
      <c r="A29" s="20" t="s">
        <v>116</v>
      </c>
      <c r="B29" s="21" t="s">
        <v>117</v>
      </c>
      <c r="C29" s="21" t="s">
        <v>118</v>
      </c>
      <c r="D29" s="21" t="s">
        <v>119</v>
      </c>
      <c r="E29" s="41">
        <v>45159</v>
      </c>
      <c r="F29" s="47">
        <f>Table1[[#This Row],[DATE HIRED]]+180</f>
        <v>45339</v>
      </c>
      <c r="G29" s="22" t="s">
        <v>85</v>
      </c>
      <c r="H29" s="43"/>
      <c r="I29" s="23"/>
      <c r="J29" s="24"/>
      <c r="K29" s="25"/>
      <c r="L29" s="26"/>
      <c r="M29" s="27"/>
    </row>
    <row r="30" spans="1:13" x14ac:dyDescent="0.2">
      <c r="A30" s="20" t="s">
        <v>120</v>
      </c>
      <c r="B30" s="21" t="s">
        <v>121</v>
      </c>
      <c r="C30" s="21" t="s">
        <v>122</v>
      </c>
      <c r="D30" s="21" t="s">
        <v>123</v>
      </c>
      <c r="E30" s="60">
        <v>45233</v>
      </c>
      <c r="F30" s="47">
        <f>Table1[[#This Row],[DATE HIRED]]+180</f>
        <v>45413</v>
      </c>
      <c r="G30" s="22" t="s">
        <v>85</v>
      </c>
      <c r="H30" s="43"/>
      <c r="I30" s="23"/>
      <c r="J30" s="24"/>
      <c r="K30" s="25"/>
      <c r="L30" s="26"/>
      <c r="M30" s="27"/>
    </row>
    <row r="31" spans="1:13" x14ac:dyDescent="0.2">
      <c r="A31" s="22"/>
      <c r="B31" s="21"/>
      <c r="C31" s="21"/>
      <c r="D31" s="21"/>
      <c r="E31" s="60"/>
      <c r="F31" s="29">
        <f>Table1[[#This Row],[DATE HIRED]]+160</f>
        <v>160</v>
      </c>
      <c r="G31" s="22"/>
      <c r="H31" s="43"/>
      <c r="I31" s="23"/>
      <c r="J31" s="24"/>
      <c r="K31" s="25"/>
      <c r="L31" s="26"/>
      <c r="M31" s="27"/>
    </row>
    <row r="32" spans="1:13" x14ac:dyDescent="0.2">
      <c r="A32" s="14"/>
      <c r="F32" s="44"/>
      <c r="H32" s="45"/>
    </row>
    <row r="33" spans="1:8" x14ac:dyDescent="0.2">
      <c r="A33" s="14"/>
      <c r="F33" s="44"/>
      <c r="H33" s="45"/>
    </row>
    <row r="34" spans="1:8" x14ac:dyDescent="0.2">
      <c r="A34" s="14"/>
      <c r="F34" s="44"/>
      <c r="H34" s="45"/>
    </row>
  </sheetData>
  <pageMargins left="0.70866141732283472" right="0.70866141732283472" top="0.74803149606299213" bottom="0.74803149606299213" header="0.31496062992125984" footer="0.31496062992125984"/>
  <pageSetup paperSize="8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Sheet2!$A$24:$A$26</xm:f>
          </x14:formula1>
          <xm:sqref>G12:G1048576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A8A31-E3C9-425C-8B69-ED1660138DBD}">
  <sheetPr codeName="Sheet2"/>
  <dimension ref="A1:AE336"/>
  <sheetViews>
    <sheetView workbookViewId="0">
      <pane xSplit="5" ySplit="2" topLeftCell="F35" activePane="bottomRight" state="frozen"/>
      <selection pane="topRight"/>
      <selection pane="bottomLeft"/>
      <selection pane="bottomRight" activeCell="K46" sqref="K46"/>
    </sheetView>
  </sheetViews>
  <sheetFormatPr defaultColWidth="9.33203125" defaultRowHeight="15.75" x14ac:dyDescent="0.25"/>
  <cols>
    <col min="1" max="1" width="13.6640625" style="67" customWidth="1"/>
    <col min="2" max="2" width="25.6640625" style="61" customWidth="1"/>
    <col min="3" max="3" width="17.83203125" style="61" bestFit="1" customWidth="1"/>
    <col min="4" max="4" width="16" style="62" customWidth="1"/>
    <col min="5" max="5" width="9.33203125" style="62" customWidth="1"/>
    <col min="6" max="6" width="14" style="76" customWidth="1"/>
    <col min="7" max="7" width="14" style="61" customWidth="1"/>
    <col min="8" max="8" width="14" style="76" customWidth="1"/>
    <col min="9" max="9" width="14" style="61" customWidth="1"/>
    <col min="10" max="10" width="14" style="76" customWidth="1"/>
    <col min="11" max="11" width="14" style="61" customWidth="1"/>
    <col min="12" max="12" width="14" style="76" customWidth="1"/>
    <col min="13" max="13" width="14" style="61" customWidth="1"/>
    <col min="14" max="14" width="14" style="76" customWidth="1"/>
    <col min="15" max="15" width="14" style="61" customWidth="1"/>
    <col min="16" max="16" width="14" style="76" customWidth="1"/>
    <col min="17" max="17" width="14" style="61" customWidth="1"/>
    <col min="18" max="18" width="14" style="76" customWidth="1"/>
    <col min="19" max="19" width="14" style="61" customWidth="1"/>
    <col min="20" max="20" width="14" style="76" customWidth="1"/>
    <col min="21" max="21" width="14" style="61" customWidth="1"/>
    <col min="22" max="22" width="14" style="76" customWidth="1"/>
    <col min="23" max="23" width="14" style="61" customWidth="1"/>
    <col min="24" max="24" width="14" style="76" customWidth="1"/>
    <col min="25" max="25" width="14" style="61" customWidth="1"/>
    <col min="26" max="26" width="14" style="76" customWidth="1"/>
    <col min="27" max="27" width="14.1640625" style="61" customWidth="1"/>
    <col min="28" max="28" width="14" style="61" bestFit="1" customWidth="1"/>
    <col min="29" max="29" width="14.1640625" style="61" bestFit="1" customWidth="1"/>
    <col min="30" max="30" width="6.83203125" style="61" bestFit="1" customWidth="1"/>
    <col min="31" max="31" width="10.1640625" style="61" bestFit="1" customWidth="1"/>
    <col min="32" max="16384" width="9.33203125" style="61"/>
  </cols>
  <sheetData>
    <row r="1" spans="1:31" x14ac:dyDescent="0.25">
      <c r="A1" s="309" t="s">
        <v>124</v>
      </c>
      <c r="B1" s="309"/>
      <c r="D1" s="310" t="s">
        <v>125</v>
      </c>
      <c r="E1" s="310" t="s">
        <v>126</v>
      </c>
      <c r="F1" s="308" t="s">
        <v>127</v>
      </c>
      <c r="G1" s="307"/>
      <c r="H1" s="306" t="s">
        <v>128</v>
      </c>
      <c r="I1" s="307"/>
      <c r="J1" s="306" t="s">
        <v>129</v>
      </c>
      <c r="K1" s="307"/>
      <c r="L1" s="306" t="s">
        <v>130</v>
      </c>
      <c r="M1" s="307"/>
      <c r="N1" s="306" t="s">
        <v>131</v>
      </c>
      <c r="O1" s="307"/>
      <c r="P1" s="306" t="s">
        <v>132</v>
      </c>
      <c r="Q1" s="307"/>
      <c r="R1" s="306" t="s">
        <v>133</v>
      </c>
      <c r="S1" s="307"/>
      <c r="T1" s="306" t="s">
        <v>134</v>
      </c>
      <c r="U1" s="307"/>
      <c r="V1" s="306" t="s">
        <v>135</v>
      </c>
      <c r="W1" s="307"/>
      <c r="X1" s="306" t="s">
        <v>136</v>
      </c>
      <c r="Y1" s="307"/>
      <c r="Z1" s="306" t="s">
        <v>137</v>
      </c>
      <c r="AA1" s="307"/>
      <c r="AB1" s="306" t="s">
        <v>138</v>
      </c>
      <c r="AC1" s="307"/>
      <c r="AD1" s="311" t="s">
        <v>139</v>
      </c>
      <c r="AE1" s="312"/>
    </row>
    <row r="2" spans="1:31" ht="33.75" customHeight="1" x14ac:dyDescent="0.25">
      <c r="A2" s="309"/>
      <c r="B2" s="309"/>
      <c r="D2" s="310"/>
      <c r="E2" s="309"/>
      <c r="F2" s="73" t="s">
        <v>140</v>
      </c>
      <c r="G2" s="72" t="s">
        <v>141</v>
      </c>
      <c r="H2" s="77" t="s">
        <v>140</v>
      </c>
      <c r="I2" s="72" t="s">
        <v>141</v>
      </c>
      <c r="J2" s="77" t="s">
        <v>140</v>
      </c>
      <c r="K2" s="72" t="s">
        <v>141</v>
      </c>
      <c r="L2" s="77" t="s">
        <v>140</v>
      </c>
      <c r="M2" s="72" t="s">
        <v>141</v>
      </c>
      <c r="N2" s="77" t="s">
        <v>140</v>
      </c>
      <c r="O2" s="72" t="s">
        <v>141</v>
      </c>
      <c r="P2" s="77" t="s">
        <v>140</v>
      </c>
      <c r="Q2" s="72" t="s">
        <v>141</v>
      </c>
      <c r="R2" s="77" t="s">
        <v>140</v>
      </c>
      <c r="S2" s="72" t="s">
        <v>141</v>
      </c>
      <c r="T2" s="77" t="s">
        <v>140</v>
      </c>
      <c r="U2" s="72" t="s">
        <v>141</v>
      </c>
      <c r="V2" s="77" t="s">
        <v>140</v>
      </c>
      <c r="W2" s="72" t="s">
        <v>141</v>
      </c>
      <c r="X2" s="77" t="s">
        <v>140</v>
      </c>
      <c r="Y2" s="72" t="s">
        <v>141</v>
      </c>
      <c r="Z2" s="77" t="s">
        <v>140</v>
      </c>
      <c r="AA2" s="72" t="s">
        <v>141</v>
      </c>
      <c r="AB2" s="95" t="s">
        <v>140</v>
      </c>
      <c r="AC2" s="72" t="s">
        <v>141</v>
      </c>
      <c r="AD2" s="313"/>
      <c r="AE2" s="314"/>
    </row>
    <row r="3" spans="1:31" x14ac:dyDescent="0.25">
      <c r="A3" s="315" t="s">
        <v>142</v>
      </c>
      <c r="B3" s="315"/>
      <c r="C3" s="63"/>
      <c r="D3" s="66"/>
      <c r="E3" s="66"/>
      <c r="F3" s="74"/>
      <c r="G3" s="68"/>
      <c r="H3" s="78"/>
      <c r="I3" s="68"/>
      <c r="J3" s="78"/>
      <c r="K3" s="68"/>
      <c r="L3" s="78"/>
      <c r="M3" s="68"/>
      <c r="N3" s="78"/>
      <c r="O3" s="68"/>
      <c r="P3" s="78"/>
      <c r="Q3" s="68"/>
      <c r="R3" s="78"/>
      <c r="S3" s="68"/>
      <c r="T3" s="78"/>
      <c r="U3" s="68"/>
      <c r="V3" s="78"/>
      <c r="W3" s="68"/>
      <c r="X3" s="78"/>
      <c r="Y3" s="68"/>
      <c r="Z3" s="78"/>
      <c r="AA3" s="68"/>
      <c r="AB3" s="68"/>
      <c r="AC3" s="68"/>
      <c r="AD3" s="69"/>
      <c r="AE3" s="69"/>
    </row>
    <row r="4" spans="1:31" x14ac:dyDescent="0.25">
      <c r="A4" s="315"/>
      <c r="B4" s="315"/>
      <c r="C4" s="65" t="s">
        <v>9</v>
      </c>
      <c r="D4" s="66">
        <v>5</v>
      </c>
      <c r="E4" s="66">
        <v>15</v>
      </c>
      <c r="F4" s="74"/>
      <c r="G4" s="68">
        <f>$E4/12-F4+D4</f>
        <v>6.25</v>
      </c>
      <c r="H4" s="78"/>
      <c r="I4" s="68">
        <f t="shared" ref="I4:I32" si="0">$E4/12+G4-H4</f>
        <v>7.5</v>
      </c>
      <c r="J4" s="78">
        <v>1</v>
      </c>
      <c r="K4" s="68">
        <f t="shared" ref="K4:K32" si="1">$E4/12+I4-J4</f>
        <v>7.75</v>
      </c>
      <c r="L4" s="78">
        <v>1</v>
      </c>
      <c r="M4" s="68">
        <f t="shared" ref="M4:M44" si="2">$E4/12+K4-L4</f>
        <v>8</v>
      </c>
      <c r="N4" s="78"/>
      <c r="O4" s="68">
        <f t="shared" ref="O4:O34" si="3">$E4/12+M4-N4</f>
        <v>9.25</v>
      </c>
      <c r="P4" s="78"/>
      <c r="Q4" s="68">
        <f t="shared" ref="Q4:Q34" si="4">$E4/12+O4-P4</f>
        <v>10.5</v>
      </c>
      <c r="R4" s="78">
        <v>1</v>
      </c>
      <c r="S4" s="68">
        <f t="shared" ref="S4:S34" si="5">$E4/12+Q4-R4</f>
        <v>10.75</v>
      </c>
      <c r="T4" s="78"/>
      <c r="U4" s="68">
        <f t="shared" ref="U4:U34" si="6">$E4/12+S4-T4</f>
        <v>12</v>
      </c>
      <c r="V4" s="78">
        <v>2</v>
      </c>
      <c r="W4" s="68">
        <f t="shared" ref="W4:W34" si="7">$E4/12+U4-V4</f>
        <v>11.25</v>
      </c>
      <c r="X4" s="78"/>
      <c r="Y4" s="68">
        <f t="shared" ref="Y4:Y34" si="8">$E4/12+W4-X4</f>
        <v>12.5</v>
      </c>
      <c r="Z4" s="78"/>
      <c r="AA4" s="68">
        <f t="shared" ref="AA4:AA34" si="9">$E4/12+Y4-Z4</f>
        <v>13.75</v>
      </c>
      <c r="AB4" s="68">
        <v>4</v>
      </c>
      <c r="AC4" s="68">
        <f t="shared" ref="AC4:AC34" si="10">$E4/12+AA4-AB4</f>
        <v>11</v>
      </c>
      <c r="AD4" s="69" t="s">
        <v>143</v>
      </c>
      <c r="AE4" s="69">
        <f>AC4</f>
        <v>11</v>
      </c>
    </row>
    <row r="5" spans="1:31" x14ac:dyDescent="0.25">
      <c r="A5" s="316"/>
      <c r="B5" s="316"/>
      <c r="C5" s="63" t="s">
        <v>8</v>
      </c>
      <c r="D5" s="64">
        <v>1.68</v>
      </c>
      <c r="E5" s="64">
        <v>5</v>
      </c>
      <c r="F5" s="75"/>
      <c r="G5" s="68">
        <f>$E5/12-F5+D5</f>
        <v>2.0966666666666667</v>
      </c>
      <c r="H5" s="79"/>
      <c r="I5" s="70">
        <f>$E5/12+G5-H5</f>
        <v>2.5133333333333332</v>
      </c>
      <c r="J5" s="79"/>
      <c r="K5" s="70">
        <f t="shared" si="1"/>
        <v>2.9299999999999997</v>
      </c>
      <c r="L5" s="79"/>
      <c r="M5" s="70">
        <f t="shared" si="2"/>
        <v>3.3466666666666662</v>
      </c>
      <c r="N5" s="79"/>
      <c r="O5" s="70">
        <f t="shared" si="3"/>
        <v>3.7633333333333328</v>
      </c>
      <c r="P5" s="79">
        <v>1</v>
      </c>
      <c r="Q5" s="70">
        <f t="shared" si="4"/>
        <v>3.1799999999999997</v>
      </c>
      <c r="R5" s="79"/>
      <c r="S5" s="70">
        <f t="shared" si="5"/>
        <v>3.5966666666666662</v>
      </c>
      <c r="T5" s="79"/>
      <c r="U5" s="70">
        <f t="shared" si="6"/>
        <v>4.0133333333333328</v>
      </c>
      <c r="V5" s="79"/>
      <c r="W5" s="70">
        <f t="shared" si="7"/>
        <v>4.43</v>
      </c>
      <c r="X5" s="79"/>
      <c r="Y5" s="70">
        <f t="shared" si="8"/>
        <v>4.8466666666666667</v>
      </c>
      <c r="Z5" s="79"/>
      <c r="AA5" s="70">
        <f t="shared" si="9"/>
        <v>5.2633333333333336</v>
      </c>
      <c r="AB5" s="70"/>
      <c r="AC5" s="70">
        <f t="shared" si="10"/>
        <v>5.6800000000000006</v>
      </c>
      <c r="AD5" s="69" t="s">
        <v>144</v>
      </c>
      <c r="AE5" s="71">
        <f t="shared" ref="AE5:AE87" si="11">AC5</f>
        <v>5.6800000000000006</v>
      </c>
    </row>
    <row r="6" spans="1:31" x14ac:dyDescent="0.25">
      <c r="A6" s="300" t="s">
        <v>145</v>
      </c>
      <c r="B6" s="301"/>
      <c r="C6" s="63"/>
      <c r="D6" s="66"/>
      <c r="E6" s="66"/>
      <c r="F6" s="74"/>
      <c r="G6" s="68"/>
      <c r="H6" s="78"/>
      <c r="I6" s="68"/>
      <c r="J6" s="78"/>
      <c r="K6" s="68"/>
      <c r="L6" s="78"/>
      <c r="M6" s="68"/>
      <c r="N6" s="78"/>
      <c r="O6" s="68"/>
      <c r="P6" s="78"/>
      <c r="Q6" s="68"/>
      <c r="R6" s="78"/>
      <c r="S6" s="68"/>
      <c r="T6" s="78"/>
      <c r="U6" s="68"/>
      <c r="V6" s="78"/>
      <c r="W6" s="68"/>
      <c r="X6" s="78"/>
      <c r="Y6" s="68"/>
      <c r="Z6" s="78"/>
      <c r="AA6" s="68"/>
      <c r="AB6" s="68"/>
      <c r="AC6" s="68"/>
      <c r="AD6" s="69"/>
      <c r="AE6" s="69"/>
    </row>
    <row r="7" spans="1:31" x14ac:dyDescent="0.25">
      <c r="A7" s="302"/>
      <c r="B7" s="303"/>
      <c r="C7" s="65" t="s">
        <v>9</v>
      </c>
      <c r="D7" s="66">
        <v>5</v>
      </c>
      <c r="E7" s="66">
        <v>15</v>
      </c>
      <c r="F7" s="75"/>
      <c r="G7" s="68">
        <f>$E7/12-F7+D7</f>
        <v>6.25</v>
      </c>
      <c r="H7" s="79"/>
      <c r="I7" s="68">
        <f t="shared" si="0"/>
        <v>7.5</v>
      </c>
      <c r="J7" s="79">
        <v>1</v>
      </c>
      <c r="K7" s="68">
        <f t="shared" si="1"/>
        <v>7.75</v>
      </c>
      <c r="L7" s="85"/>
      <c r="M7" s="68">
        <f t="shared" si="2"/>
        <v>9</v>
      </c>
      <c r="N7" s="79"/>
      <c r="O7" s="68">
        <f t="shared" si="3"/>
        <v>10.25</v>
      </c>
      <c r="P7" s="79">
        <v>2</v>
      </c>
      <c r="Q7" s="68">
        <f t="shared" si="4"/>
        <v>9.5</v>
      </c>
      <c r="R7" s="79">
        <v>1</v>
      </c>
      <c r="S7" s="68">
        <f t="shared" si="5"/>
        <v>9.75</v>
      </c>
      <c r="T7" s="80">
        <v>3</v>
      </c>
      <c r="U7" s="68">
        <f t="shared" si="6"/>
        <v>8</v>
      </c>
      <c r="V7" s="79"/>
      <c r="W7" s="68">
        <f t="shared" si="7"/>
        <v>9.25</v>
      </c>
      <c r="X7" s="79"/>
      <c r="Y7" s="68">
        <f t="shared" si="8"/>
        <v>10.5</v>
      </c>
      <c r="Z7" s="81">
        <v>2</v>
      </c>
      <c r="AA7" s="68">
        <f t="shared" si="9"/>
        <v>9.75</v>
      </c>
      <c r="AB7" s="70">
        <v>8</v>
      </c>
      <c r="AC7" s="68">
        <f t="shared" si="10"/>
        <v>3</v>
      </c>
      <c r="AD7" s="69" t="s">
        <v>143</v>
      </c>
      <c r="AE7" s="71">
        <f t="shared" si="11"/>
        <v>3</v>
      </c>
    </row>
    <row r="8" spans="1:31" x14ac:dyDescent="0.25">
      <c r="A8" s="304"/>
      <c r="B8" s="305"/>
      <c r="C8" s="63" t="s">
        <v>8</v>
      </c>
      <c r="D8" s="64">
        <v>0.42</v>
      </c>
      <c r="E8" s="64">
        <v>5</v>
      </c>
      <c r="F8" s="75"/>
      <c r="G8" s="68">
        <f>$E8/12-F8+D8</f>
        <v>0.83666666666666667</v>
      </c>
      <c r="H8" s="79"/>
      <c r="I8" s="70">
        <f t="shared" si="0"/>
        <v>1.2533333333333334</v>
      </c>
      <c r="J8" s="79">
        <v>1</v>
      </c>
      <c r="K8" s="70">
        <f t="shared" si="1"/>
        <v>0.67000000000000015</v>
      </c>
      <c r="L8" s="79"/>
      <c r="M8" s="70">
        <f t="shared" si="2"/>
        <v>1.0866666666666669</v>
      </c>
      <c r="N8" s="79"/>
      <c r="O8" s="70">
        <f t="shared" si="3"/>
        <v>1.5033333333333336</v>
      </c>
      <c r="P8" s="79"/>
      <c r="Q8" s="70">
        <f t="shared" si="4"/>
        <v>1.9200000000000004</v>
      </c>
      <c r="R8" s="79"/>
      <c r="S8" s="70">
        <f t="shared" si="5"/>
        <v>2.3366666666666669</v>
      </c>
      <c r="T8" s="80"/>
      <c r="U8" s="70">
        <f t="shared" si="6"/>
        <v>2.7533333333333334</v>
      </c>
      <c r="V8" s="79">
        <v>1</v>
      </c>
      <c r="W8" s="70">
        <f t="shared" si="7"/>
        <v>2.17</v>
      </c>
      <c r="X8" s="79"/>
      <c r="Y8" s="70">
        <f t="shared" si="8"/>
        <v>2.5866666666666664</v>
      </c>
      <c r="Z8" s="80"/>
      <c r="AA8" s="70">
        <f t="shared" si="9"/>
        <v>3.003333333333333</v>
      </c>
      <c r="AB8" s="70"/>
      <c r="AC8" s="70">
        <f t="shared" si="10"/>
        <v>3.4199999999999995</v>
      </c>
      <c r="AD8" s="69" t="s">
        <v>144</v>
      </c>
      <c r="AE8" s="71">
        <f t="shared" si="11"/>
        <v>3.4199999999999995</v>
      </c>
    </row>
    <row r="9" spans="1:31" x14ac:dyDescent="0.25">
      <c r="A9" s="294" t="s">
        <v>146</v>
      </c>
      <c r="B9" s="295"/>
      <c r="C9" s="63"/>
      <c r="D9" s="64"/>
      <c r="E9" s="66"/>
      <c r="F9" s="75"/>
      <c r="G9" s="68"/>
      <c r="H9" s="79"/>
      <c r="I9" s="68"/>
      <c r="J9" s="79"/>
      <c r="K9" s="68"/>
      <c r="L9" s="79"/>
      <c r="M9" s="68"/>
      <c r="N9" s="79"/>
      <c r="O9" s="68"/>
      <c r="P9" s="79"/>
      <c r="Q9" s="68"/>
      <c r="R9" s="79"/>
      <c r="S9" s="68"/>
      <c r="T9" s="79"/>
      <c r="U9" s="68"/>
      <c r="V9" s="79"/>
      <c r="W9" s="68"/>
      <c r="X9" s="79"/>
      <c r="Y9" s="68"/>
      <c r="Z9" s="79"/>
      <c r="AA9" s="68"/>
      <c r="AB9" s="70"/>
      <c r="AC9" s="68"/>
      <c r="AD9" s="69"/>
      <c r="AE9" s="71"/>
    </row>
    <row r="10" spans="1:31" x14ac:dyDescent="0.25">
      <c r="A10" s="296"/>
      <c r="B10" s="297"/>
      <c r="C10" s="65" t="s">
        <v>9</v>
      </c>
      <c r="D10" s="66">
        <v>5</v>
      </c>
      <c r="E10" s="66">
        <v>15</v>
      </c>
      <c r="F10" s="75"/>
      <c r="G10" s="68">
        <f>$E10/12-F10+D10</f>
        <v>6.25</v>
      </c>
      <c r="H10" s="79"/>
      <c r="I10" s="68">
        <f t="shared" si="0"/>
        <v>7.5</v>
      </c>
      <c r="J10" s="79">
        <v>1</v>
      </c>
      <c r="K10" s="68">
        <f t="shared" si="1"/>
        <v>7.75</v>
      </c>
      <c r="L10" s="79"/>
      <c r="M10" s="68">
        <f t="shared" si="2"/>
        <v>9</v>
      </c>
      <c r="N10" s="79"/>
      <c r="O10" s="68">
        <f t="shared" si="3"/>
        <v>10.25</v>
      </c>
      <c r="P10" s="79">
        <v>2</v>
      </c>
      <c r="Q10" s="68">
        <f t="shared" si="4"/>
        <v>9.5</v>
      </c>
      <c r="R10" s="79"/>
      <c r="S10" s="68">
        <f t="shared" si="5"/>
        <v>10.75</v>
      </c>
      <c r="T10" s="79"/>
      <c r="U10" s="68">
        <f t="shared" si="6"/>
        <v>12</v>
      </c>
      <c r="V10" s="79"/>
      <c r="W10" s="68">
        <f t="shared" si="7"/>
        <v>13.25</v>
      </c>
      <c r="X10" s="79"/>
      <c r="Y10" s="68">
        <f t="shared" si="8"/>
        <v>14.5</v>
      </c>
      <c r="Z10" s="79"/>
      <c r="AA10" s="68">
        <f t="shared" si="9"/>
        <v>15.75</v>
      </c>
      <c r="AB10" s="70">
        <v>10</v>
      </c>
      <c r="AC10" s="68">
        <f t="shared" si="10"/>
        <v>7</v>
      </c>
      <c r="AD10" s="69" t="s">
        <v>143</v>
      </c>
      <c r="AE10" s="71">
        <f t="shared" ref="AE10:AE11" si="12">AC10</f>
        <v>7</v>
      </c>
    </row>
    <row r="11" spans="1:31" x14ac:dyDescent="0.25">
      <c r="A11" s="298"/>
      <c r="B11" s="299"/>
      <c r="C11" s="63" t="s">
        <v>8</v>
      </c>
      <c r="D11" s="64">
        <v>1.68</v>
      </c>
      <c r="E11" s="64">
        <v>5</v>
      </c>
      <c r="F11" s="75"/>
      <c r="G11" s="68">
        <f>$E11/12-F11+D11</f>
        <v>2.0966666666666667</v>
      </c>
      <c r="H11" s="79"/>
      <c r="I11" s="70">
        <f t="shared" si="0"/>
        <v>2.5133333333333332</v>
      </c>
      <c r="J11" s="79">
        <v>1</v>
      </c>
      <c r="K11" s="70">
        <f t="shared" si="1"/>
        <v>1.9299999999999997</v>
      </c>
      <c r="L11" s="79">
        <v>1</v>
      </c>
      <c r="M11" s="70">
        <f t="shared" si="2"/>
        <v>1.3466666666666662</v>
      </c>
      <c r="N11" s="79">
        <v>1</v>
      </c>
      <c r="O11" s="70">
        <f t="shared" si="3"/>
        <v>0.76333333333333298</v>
      </c>
      <c r="P11" s="79"/>
      <c r="Q11" s="70">
        <f t="shared" si="4"/>
        <v>1.1799999999999997</v>
      </c>
      <c r="R11" s="79">
        <v>1</v>
      </c>
      <c r="S11" s="70">
        <f t="shared" si="5"/>
        <v>0.59666666666666646</v>
      </c>
      <c r="T11" s="79">
        <v>1</v>
      </c>
      <c r="U11" s="70">
        <f t="shared" si="6"/>
        <v>1.3333333333333197E-2</v>
      </c>
      <c r="V11" s="79">
        <v>2</v>
      </c>
      <c r="W11" s="86">
        <f>$E11/12+U11-V11</f>
        <v>-1.57</v>
      </c>
      <c r="X11" s="80"/>
      <c r="Y11" s="86">
        <f t="shared" si="8"/>
        <v>-1.1533333333333333</v>
      </c>
      <c r="Z11" s="80"/>
      <c r="AA11" s="86">
        <f t="shared" si="9"/>
        <v>-0.73666666666666658</v>
      </c>
      <c r="AB11" s="70"/>
      <c r="AC11" s="70">
        <f t="shared" si="10"/>
        <v>-0.3199999999999999</v>
      </c>
      <c r="AD11" s="69" t="s">
        <v>144</v>
      </c>
      <c r="AE11" s="71">
        <f t="shared" si="12"/>
        <v>-0.3199999999999999</v>
      </c>
    </row>
    <row r="12" spans="1:31" x14ac:dyDescent="0.25">
      <c r="A12" s="294" t="s">
        <v>147</v>
      </c>
      <c r="B12" s="295"/>
      <c r="C12" s="63"/>
      <c r="D12" s="64"/>
      <c r="E12" s="66"/>
      <c r="F12" s="75"/>
      <c r="G12" s="68"/>
      <c r="H12" s="79"/>
      <c r="I12" s="68"/>
      <c r="J12" s="79"/>
      <c r="K12" s="68"/>
      <c r="L12" s="79"/>
      <c r="M12" s="68"/>
      <c r="N12" s="79"/>
      <c r="O12" s="68"/>
      <c r="P12" s="79"/>
      <c r="Q12" s="68"/>
      <c r="R12" s="79"/>
      <c r="S12" s="68"/>
      <c r="T12" s="79"/>
      <c r="U12" s="68"/>
      <c r="V12" s="79"/>
      <c r="W12" s="68"/>
      <c r="X12" s="79"/>
      <c r="Y12" s="68"/>
      <c r="Z12" s="79"/>
      <c r="AA12" s="68"/>
      <c r="AB12" s="70"/>
      <c r="AC12" s="68"/>
      <c r="AD12" s="69"/>
      <c r="AE12" s="71"/>
    </row>
    <row r="13" spans="1:31" x14ac:dyDescent="0.25">
      <c r="A13" s="296"/>
      <c r="B13" s="297"/>
      <c r="C13" s="65" t="s">
        <v>9</v>
      </c>
      <c r="D13" s="66">
        <v>5</v>
      </c>
      <c r="E13" s="66">
        <v>15</v>
      </c>
      <c r="F13" s="75"/>
      <c r="G13" s="68">
        <f>$E13/12-F13+D13</f>
        <v>6.25</v>
      </c>
      <c r="H13" s="79"/>
      <c r="I13" s="68">
        <f t="shared" si="0"/>
        <v>7.5</v>
      </c>
      <c r="J13" s="79"/>
      <c r="K13" s="68">
        <f t="shared" si="1"/>
        <v>8.75</v>
      </c>
      <c r="L13" s="79">
        <v>2</v>
      </c>
      <c r="M13" s="68">
        <f t="shared" si="2"/>
        <v>8</v>
      </c>
      <c r="N13" s="79"/>
      <c r="O13" s="68">
        <f t="shared" si="3"/>
        <v>9.25</v>
      </c>
      <c r="P13" s="79">
        <v>0.5</v>
      </c>
      <c r="Q13" s="68">
        <f t="shared" si="4"/>
        <v>10</v>
      </c>
      <c r="R13" s="79">
        <v>1</v>
      </c>
      <c r="S13" s="68">
        <f t="shared" si="5"/>
        <v>10.25</v>
      </c>
      <c r="T13" s="79"/>
      <c r="U13" s="68">
        <f t="shared" si="6"/>
        <v>11.5</v>
      </c>
      <c r="V13" s="79"/>
      <c r="W13" s="68">
        <f t="shared" si="7"/>
        <v>12.75</v>
      </c>
      <c r="X13" s="79"/>
      <c r="Y13" s="68">
        <f t="shared" si="8"/>
        <v>14</v>
      </c>
      <c r="Z13" s="79">
        <v>1</v>
      </c>
      <c r="AA13" s="68">
        <f t="shared" si="9"/>
        <v>14.25</v>
      </c>
      <c r="AB13" s="70">
        <v>3</v>
      </c>
      <c r="AC13" s="68">
        <f t="shared" si="10"/>
        <v>12.5</v>
      </c>
      <c r="AD13" s="69" t="s">
        <v>143</v>
      </c>
      <c r="AE13" s="71">
        <f>AC13</f>
        <v>12.5</v>
      </c>
    </row>
    <row r="14" spans="1:31" x14ac:dyDescent="0.25">
      <c r="A14" s="298"/>
      <c r="B14" s="299"/>
      <c r="C14" s="63" t="s">
        <v>8</v>
      </c>
      <c r="D14" s="64">
        <v>1.68</v>
      </c>
      <c r="E14" s="64">
        <v>5</v>
      </c>
      <c r="F14" s="75"/>
      <c r="G14" s="68">
        <f>$E14/12-F14+D14</f>
        <v>2.0966666666666667</v>
      </c>
      <c r="H14" s="79"/>
      <c r="I14" s="70">
        <f t="shared" si="0"/>
        <v>2.5133333333333332</v>
      </c>
      <c r="J14" s="79"/>
      <c r="K14" s="70">
        <f t="shared" si="1"/>
        <v>2.9299999999999997</v>
      </c>
      <c r="L14" s="79"/>
      <c r="M14" s="70">
        <f t="shared" si="2"/>
        <v>3.3466666666666662</v>
      </c>
      <c r="N14" s="79"/>
      <c r="O14" s="70">
        <f t="shared" si="3"/>
        <v>3.7633333333333328</v>
      </c>
      <c r="P14" s="79"/>
      <c r="Q14" s="70">
        <f t="shared" si="4"/>
        <v>4.18</v>
      </c>
      <c r="R14" s="79"/>
      <c r="S14" s="70">
        <f t="shared" si="5"/>
        <v>4.5966666666666667</v>
      </c>
      <c r="T14" s="79"/>
      <c r="U14" s="70">
        <f t="shared" si="6"/>
        <v>5.0133333333333336</v>
      </c>
      <c r="V14" s="79">
        <v>2</v>
      </c>
      <c r="W14" s="70">
        <f t="shared" si="7"/>
        <v>3.4300000000000006</v>
      </c>
      <c r="X14" s="79"/>
      <c r="Y14" s="70">
        <f t="shared" si="8"/>
        <v>3.8466666666666671</v>
      </c>
      <c r="Z14" s="79"/>
      <c r="AA14" s="70">
        <f t="shared" si="9"/>
        <v>4.2633333333333336</v>
      </c>
      <c r="AB14" s="70"/>
      <c r="AC14" s="70">
        <f t="shared" si="10"/>
        <v>4.6800000000000006</v>
      </c>
      <c r="AD14" s="69" t="s">
        <v>144</v>
      </c>
      <c r="AE14" s="71">
        <f t="shared" si="11"/>
        <v>4.6800000000000006</v>
      </c>
    </row>
    <row r="15" spans="1:31" x14ac:dyDescent="0.25">
      <c r="A15" s="294" t="s">
        <v>148</v>
      </c>
      <c r="B15" s="295"/>
      <c r="C15" s="63"/>
      <c r="D15" s="66"/>
      <c r="E15" s="66"/>
      <c r="F15" s="74"/>
      <c r="G15" s="68"/>
      <c r="H15" s="78"/>
      <c r="I15" s="68"/>
      <c r="J15" s="78"/>
      <c r="K15" s="68"/>
      <c r="L15" s="78"/>
      <c r="M15" s="68"/>
      <c r="N15" s="78"/>
      <c r="O15" s="68"/>
      <c r="P15" s="78"/>
      <c r="Q15" s="68"/>
      <c r="R15" s="78"/>
      <c r="S15" s="68"/>
      <c r="T15" s="78"/>
      <c r="U15" s="68"/>
      <c r="V15" s="78"/>
      <c r="W15" s="68"/>
      <c r="X15" s="78"/>
      <c r="Y15" s="68"/>
      <c r="Z15" s="78"/>
      <c r="AA15" s="68"/>
      <c r="AB15" s="68"/>
      <c r="AC15" s="68"/>
      <c r="AD15" s="69"/>
      <c r="AE15" s="69"/>
    </row>
    <row r="16" spans="1:31" x14ac:dyDescent="0.25">
      <c r="A16" s="296"/>
      <c r="B16" s="297"/>
      <c r="C16" s="65" t="s">
        <v>9</v>
      </c>
      <c r="D16" s="66">
        <v>5</v>
      </c>
      <c r="E16" s="66">
        <v>15</v>
      </c>
      <c r="F16" s="75"/>
      <c r="G16" s="68">
        <f>$E16/12-F16+D16</f>
        <v>6.25</v>
      </c>
      <c r="H16" s="79"/>
      <c r="I16" s="68">
        <f t="shared" si="0"/>
        <v>7.5</v>
      </c>
      <c r="J16" s="79"/>
      <c r="K16" s="68">
        <f t="shared" si="1"/>
        <v>8.75</v>
      </c>
      <c r="L16" s="79"/>
      <c r="M16" s="68">
        <f t="shared" si="2"/>
        <v>10</v>
      </c>
      <c r="N16" s="79">
        <v>0.5</v>
      </c>
      <c r="O16" s="68">
        <f t="shared" si="3"/>
        <v>10.75</v>
      </c>
      <c r="P16" s="79"/>
      <c r="Q16" s="68">
        <f t="shared" si="4"/>
        <v>12</v>
      </c>
      <c r="R16" s="79"/>
      <c r="S16" s="68">
        <f t="shared" si="5"/>
        <v>13.25</v>
      </c>
      <c r="T16" s="79"/>
      <c r="U16" s="68">
        <f t="shared" si="6"/>
        <v>14.5</v>
      </c>
      <c r="V16" s="79">
        <v>2</v>
      </c>
      <c r="W16" s="68">
        <f t="shared" si="7"/>
        <v>13.75</v>
      </c>
      <c r="X16" s="79">
        <v>2</v>
      </c>
      <c r="Y16" s="68">
        <f t="shared" si="8"/>
        <v>13</v>
      </c>
      <c r="Z16" s="79"/>
      <c r="AA16" s="68">
        <f t="shared" si="9"/>
        <v>14.25</v>
      </c>
      <c r="AB16" s="70">
        <v>8</v>
      </c>
      <c r="AC16" s="68">
        <f t="shared" si="10"/>
        <v>7.5</v>
      </c>
      <c r="AD16" s="69" t="s">
        <v>143</v>
      </c>
      <c r="AE16" s="71">
        <f t="shared" si="11"/>
        <v>7.5</v>
      </c>
    </row>
    <row r="17" spans="1:31" x14ac:dyDescent="0.25">
      <c r="A17" s="298"/>
      <c r="B17" s="299"/>
      <c r="C17" s="63" t="s">
        <v>8</v>
      </c>
      <c r="D17" s="64">
        <v>1.68</v>
      </c>
      <c r="E17" s="64">
        <v>5</v>
      </c>
      <c r="F17" s="75"/>
      <c r="G17" s="68">
        <f>$E17/12-F17+D17</f>
        <v>2.0966666666666667</v>
      </c>
      <c r="H17" s="79"/>
      <c r="I17" s="70">
        <f t="shared" si="0"/>
        <v>2.5133333333333332</v>
      </c>
      <c r="J17" s="79">
        <v>1</v>
      </c>
      <c r="K17" s="70">
        <f t="shared" si="1"/>
        <v>1.9299999999999997</v>
      </c>
      <c r="L17" s="79">
        <v>1</v>
      </c>
      <c r="M17" s="70">
        <f t="shared" si="2"/>
        <v>1.3466666666666662</v>
      </c>
      <c r="N17" s="79"/>
      <c r="O17" s="70">
        <f t="shared" si="3"/>
        <v>1.763333333333333</v>
      </c>
      <c r="P17" s="79"/>
      <c r="Q17" s="70">
        <f t="shared" si="4"/>
        <v>2.1799999999999997</v>
      </c>
      <c r="R17" s="79"/>
      <c r="S17" s="70">
        <f t="shared" si="5"/>
        <v>2.5966666666666662</v>
      </c>
      <c r="T17" s="79">
        <v>1</v>
      </c>
      <c r="U17" s="70">
        <f t="shared" si="6"/>
        <v>2.0133333333333328</v>
      </c>
      <c r="V17" s="79">
        <v>1</v>
      </c>
      <c r="W17" s="70">
        <f t="shared" si="7"/>
        <v>1.4299999999999993</v>
      </c>
      <c r="X17" s="79"/>
      <c r="Y17" s="70">
        <f t="shared" si="8"/>
        <v>1.846666666666666</v>
      </c>
      <c r="Z17" s="79"/>
      <c r="AA17" s="70">
        <f t="shared" si="9"/>
        <v>2.2633333333333328</v>
      </c>
      <c r="AB17" s="70"/>
      <c r="AC17" s="70">
        <f t="shared" si="10"/>
        <v>2.6799999999999993</v>
      </c>
      <c r="AD17" s="69" t="s">
        <v>144</v>
      </c>
      <c r="AE17" s="71">
        <f t="shared" si="11"/>
        <v>2.6799999999999993</v>
      </c>
    </row>
    <row r="18" spans="1:31" x14ac:dyDescent="0.25">
      <c r="A18" s="294" t="s">
        <v>149</v>
      </c>
      <c r="B18" s="295"/>
      <c r="C18" s="63"/>
      <c r="D18" s="66"/>
      <c r="E18" s="66"/>
      <c r="F18" s="74"/>
      <c r="G18" s="68"/>
      <c r="H18" s="78"/>
      <c r="I18" s="68"/>
      <c r="J18" s="78"/>
      <c r="K18" s="68"/>
      <c r="L18" s="78"/>
      <c r="M18" s="68"/>
      <c r="N18" s="78"/>
      <c r="O18" s="68"/>
      <c r="P18" s="78"/>
      <c r="Q18" s="68"/>
      <c r="R18" s="78"/>
      <c r="S18" s="68"/>
      <c r="T18" s="78"/>
      <c r="U18" s="68"/>
      <c r="V18" s="78"/>
      <c r="W18" s="68"/>
      <c r="X18" s="78"/>
      <c r="Y18" s="68"/>
      <c r="Z18" s="78"/>
      <c r="AA18" s="68"/>
      <c r="AB18" s="68"/>
      <c r="AC18" s="68"/>
      <c r="AD18" s="69"/>
      <c r="AE18" s="69"/>
    </row>
    <row r="19" spans="1:31" x14ac:dyDescent="0.25">
      <c r="A19" s="296"/>
      <c r="B19" s="297"/>
      <c r="C19" s="65" t="s">
        <v>9</v>
      </c>
      <c r="D19" s="66">
        <v>3.75</v>
      </c>
      <c r="E19" s="66">
        <v>15</v>
      </c>
      <c r="F19" s="75"/>
      <c r="G19" s="68">
        <f>$E19/12-F19+D19</f>
        <v>5</v>
      </c>
      <c r="H19" s="79"/>
      <c r="I19" s="68">
        <f t="shared" si="0"/>
        <v>6.25</v>
      </c>
      <c r="J19" s="79"/>
      <c r="K19" s="68">
        <f t="shared" si="1"/>
        <v>7.5</v>
      </c>
      <c r="L19" s="79"/>
      <c r="M19" s="68">
        <f t="shared" si="2"/>
        <v>8.75</v>
      </c>
      <c r="N19" s="79"/>
      <c r="O19" s="68">
        <f t="shared" si="3"/>
        <v>10</v>
      </c>
      <c r="P19" s="79"/>
      <c r="Q19" s="68">
        <f t="shared" si="4"/>
        <v>11.25</v>
      </c>
      <c r="R19" s="79"/>
      <c r="S19" s="68">
        <f t="shared" si="5"/>
        <v>12.5</v>
      </c>
      <c r="T19" s="79"/>
      <c r="U19" s="68">
        <f t="shared" si="6"/>
        <v>13.75</v>
      </c>
      <c r="V19" s="79"/>
      <c r="W19" s="68">
        <f t="shared" si="7"/>
        <v>15</v>
      </c>
      <c r="X19" s="79"/>
      <c r="Y19" s="68">
        <f t="shared" si="8"/>
        <v>16.25</v>
      </c>
      <c r="Z19" s="79"/>
      <c r="AA19" s="68">
        <f t="shared" si="9"/>
        <v>17.5</v>
      </c>
      <c r="AB19" s="70">
        <v>8</v>
      </c>
      <c r="AC19" s="68">
        <f t="shared" si="10"/>
        <v>10.75</v>
      </c>
      <c r="AD19" s="69" t="s">
        <v>143</v>
      </c>
      <c r="AE19" s="71">
        <f t="shared" si="11"/>
        <v>10.75</v>
      </c>
    </row>
    <row r="20" spans="1:31" x14ac:dyDescent="0.25">
      <c r="A20" s="298"/>
      <c r="B20" s="299"/>
      <c r="C20" s="63" t="s">
        <v>8</v>
      </c>
      <c r="D20" s="64">
        <v>1.26</v>
      </c>
      <c r="E20" s="64">
        <v>5</v>
      </c>
      <c r="F20" s="75"/>
      <c r="G20" s="68">
        <f>$E20/12-F20+D20</f>
        <v>1.6766666666666667</v>
      </c>
      <c r="H20" s="79"/>
      <c r="I20" s="70">
        <f t="shared" si="0"/>
        <v>2.0933333333333333</v>
      </c>
      <c r="J20" s="79"/>
      <c r="K20" s="70">
        <f t="shared" si="1"/>
        <v>2.5099999999999998</v>
      </c>
      <c r="L20" s="79"/>
      <c r="M20" s="70">
        <f t="shared" si="2"/>
        <v>2.9266666666666663</v>
      </c>
      <c r="N20" s="79"/>
      <c r="O20" s="70">
        <f t="shared" si="3"/>
        <v>3.3433333333333328</v>
      </c>
      <c r="P20" s="79"/>
      <c r="Q20" s="70">
        <f t="shared" si="4"/>
        <v>3.7599999999999993</v>
      </c>
      <c r="R20" s="79"/>
      <c r="S20" s="70">
        <f t="shared" si="5"/>
        <v>4.1766666666666659</v>
      </c>
      <c r="T20" s="79"/>
      <c r="U20" s="70">
        <f t="shared" si="6"/>
        <v>4.5933333333333328</v>
      </c>
      <c r="V20" s="79"/>
      <c r="W20" s="70">
        <f t="shared" si="7"/>
        <v>5.01</v>
      </c>
      <c r="X20" s="79"/>
      <c r="Y20" s="70">
        <f t="shared" si="8"/>
        <v>5.4266666666666667</v>
      </c>
      <c r="Z20" s="79"/>
      <c r="AA20" s="70">
        <f t="shared" si="9"/>
        <v>5.8433333333333337</v>
      </c>
      <c r="AB20" s="70"/>
      <c r="AC20" s="70">
        <f t="shared" si="10"/>
        <v>6.2600000000000007</v>
      </c>
      <c r="AD20" s="69" t="s">
        <v>144</v>
      </c>
      <c r="AE20" s="71">
        <f t="shared" si="11"/>
        <v>6.2600000000000007</v>
      </c>
    </row>
    <row r="21" spans="1:31" x14ac:dyDescent="0.25">
      <c r="A21" s="294" t="s">
        <v>150</v>
      </c>
      <c r="B21" s="295"/>
      <c r="C21" s="63"/>
      <c r="D21" s="66"/>
      <c r="E21" s="66"/>
      <c r="F21" s="74"/>
      <c r="G21" s="68"/>
      <c r="H21" s="78"/>
      <c r="I21" s="68"/>
      <c r="J21" s="78"/>
      <c r="K21" s="68"/>
      <c r="L21" s="78"/>
      <c r="M21" s="68"/>
      <c r="N21" s="78"/>
      <c r="O21" s="68"/>
      <c r="P21" s="78"/>
      <c r="Q21" s="68"/>
      <c r="R21" s="78"/>
      <c r="S21" s="68"/>
      <c r="T21" s="78"/>
      <c r="U21" s="68"/>
      <c r="V21" s="78"/>
      <c r="W21" s="68"/>
      <c r="X21" s="78"/>
      <c r="Y21" s="68"/>
      <c r="Z21" s="78"/>
      <c r="AA21" s="68"/>
      <c r="AB21" s="68"/>
      <c r="AC21" s="68"/>
      <c r="AD21" s="69"/>
      <c r="AE21" s="69"/>
    </row>
    <row r="22" spans="1:31" x14ac:dyDescent="0.25">
      <c r="A22" s="296"/>
      <c r="B22" s="297"/>
      <c r="C22" s="65" t="s">
        <v>9</v>
      </c>
      <c r="D22" s="66">
        <v>3.75</v>
      </c>
      <c r="E22" s="66">
        <v>15</v>
      </c>
      <c r="F22" s="75"/>
      <c r="G22" s="68">
        <f>$E22/12-F22+D22</f>
        <v>5</v>
      </c>
      <c r="H22" s="79"/>
      <c r="I22" s="68">
        <f t="shared" si="0"/>
        <v>6.25</v>
      </c>
      <c r="J22" s="79"/>
      <c r="K22" s="68">
        <f t="shared" si="1"/>
        <v>7.5</v>
      </c>
      <c r="L22" s="79">
        <v>1</v>
      </c>
      <c r="M22" s="68">
        <f t="shared" si="2"/>
        <v>7.75</v>
      </c>
      <c r="N22" s="79">
        <v>5</v>
      </c>
      <c r="O22" s="68">
        <f t="shared" si="3"/>
        <v>4</v>
      </c>
      <c r="P22" s="79"/>
      <c r="Q22" s="68">
        <f t="shared" si="4"/>
        <v>5.25</v>
      </c>
      <c r="R22" s="79"/>
      <c r="S22" s="68">
        <f t="shared" si="5"/>
        <v>6.5</v>
      </c>
      <c r="T22" s="79"/>
      <c r="U22" s="68">
        <f t="shared" si="6"/>
        <v>7.75</v>
      </c>
      <c r="V22" s="79">
        <v>0.5</v>
      </c>
      <c r="W22" s="68">
        <f t="shared" si="7"/>
        <v>8.5</v>
      </c>
      <c r="X22" s="79"/>
      <c r="Y22" s="68">
        <f t="shared" si="8"/>
        <v>9.75</v>
      </c>
      <c r="Z22" s="79"/>
      <c r="AA22" s="68">
        <f t="shared" si="9"/>
        <v>11</v>
      </c>
      <c r="AB22" s="70">
        <v>3</v>
      </c>
      <c r="AC22" s="68">
        <f t="shared" si="10"/>
        <v>9.25</v>
      </c>
      <c r="AD22" s="69" t="s">
        <v>143</v>
      </c>
      <c r="AE22" s="71">
        <f t="shared" si="11"/>
        <v>9.25</v>
      </c>
    </row>
    <row r="23" spans="1:31" x14ac:dyDescent="0.25">
      <c r="A23" s="298"/>
      <c r="B23" s="299"/>
      <c r="C23" s="63" t="s">
        <v>8</v>
      </c>
      <c r="D23" s="64">
        <v>1.26</v>
      </c>
      <c r="E23" s="64">
        <v>5</v>
      </c>
      <c r="F23" s="75"/>
      <c r="G23" s="68">
        <f>$E23/12-F23+D23</f>
        <v>1.6766666666666667</v>
      </c>
      <c r="H23" s="79"/>
      <c r="I23" s="70">
        <f t="shared" si="0"/>
        <v>2.0933333333333333</v>
      </c>
      <c r="J23" s="79">
        <v>1</v>
      </c>
      <c r="K23" s="70">
        <f t="shared" si="1"/>
        <v>1.5099999999999998</v>
      </c>
      <c r="L23" s="79"/>
      <c r="M23" s="70">
        <f t="shared" si="2"/>
        <v>1.9266666666666665</v>
      </c>
      <c r="N23" s="79">
        <v>1</v>
      </c>
      <c r="O23" s="70">
        <f t="shared" si="3"/>
        <v>1.3433333333333333</v>
      </c>
      <c r="P23" s="79"/>
      <c r="Q23" s="70">
        <f t="shared" si="4"/>
        <v>1.76</v>
      </c>
      <c r="R23" s="79"/>
      <c r="S23" s="70">
        <f t="shared" si="5"/>
        <v>2.1766666666666667</v>
      </c>
      <c r="T23" s="79"/>
      <c r="U23" s="70">
        <f t="shared" si="6"/>
        <v>2.5933333333333333</v>
      </c>
      <c r="V23" s="79"/>
      <c r="W23" s="70">
        <f t="shared" si="7"/>
        <v>3.01</v>
      </c>
      <c r="X23" s="79">
        <v>3</v>
      </c>
      <c r="Y23" s="70">
        <f t="shared" si="8"/>
        <v>0.42666666666666631</v>
      </c>
      <c r="Z23" s="79"/>
      <c r="AA23" s="70">
        <f t="shared" si="9"/>
        <v>0.84333333333333305</v>
      </c>
      <c r="AB23" s="70"/>
      <c r="AC23" s="70">
        <f t="shared" si="10"/>
        <v>1.2599999999999998</v>
      </c>
      <c r="AD23" s="69" t="s">
        <v>144</v>
      </c>
      <c r="AE23" s="71">
        <f t="shared" si="11"/>
        <v>1.2599999999999998</v>
      </c>
    </row>
    <row r="24" spans="1:31" x14ac:dyDescent="0.25">
      <c r="A24" s="294" t="s">
        <v>151</v>
      </c>
      <c r="B24" s="295"/>
      <c r="C24" s="63"/>
      <c r="D24" s="66"/>
      <c r="E24" s="66"/>
      <c r="F24" s="74"/>
      <c r="G24" s="68"/>
      <c r="H24" s="78"/>
      <c r="I24" s="68"/>
      <c r="J24" s="78"/>
      <c r="K24" s="68"/>
      <c r="L24" s="78"/>
      <c r="M24" s="68"/>
      <c r="N24" s="78"/>
      <c r="O24" s="68"/>
      <c r="P24" s="78"/>
      <c r="Q24" s="68"/>
      <c r="R24" s="78"/>
      <c r="S24" s="68"/>
      <c r="T24" s="78"/>
      <c r="U24" s="68"/>
      <c r="V24" s="78"/>
      <c r="W24" s="68"/>
      <c r="X24" s="78"/>
      <c r="Y24" s="68"/>
      <c r="Z24" s="78"/>
      <c r="AA24" s="68"/>
      <c r="AB24" s="68"/>
      <c r="AC24" s="68"/>
      <c r="AD24" s="69"/>
      <c r="AE24" s="69"/>
    </row>
    <row r="25" spans="1:31" x14ac:dyDescent="0.25">
      <c r="A25" s="296"/>
      <c r="B25" s="297"/>
      <c r="C25" s="65" t="s">
        <v>9</v>
      </c>
      <c r="D25" s="66">
        <v>3.75</v>
      </c>
      <c r="E25" s="66">
        <v>15</v>
      </c>
      <c r="F25" s="75"/>
      <c r="G25" s="68">
        <f>$E25/12-F25+D25</f>
        <v>5</v>
      </c>
      <c r="H25" s="79"/>
      <c r="I25" s="68">
        <f t="shared" si="0"/>
        <v>6.25</v>
      </c>
      <c r="J25" s="79">
        <v>1.5</v>
      </c>
      <c r="K25" s="68">
        <f t="shared" si="1"/>
        <v>6</v>
      </c>
      <c r="L25" s="79">
        <v>1</v>
      </c>
      <c r="M25" s="68">
        <f t="shared" si="2"/>
        <v>6.25</v>
      </c>
      <c r="N25" s="79"/>
      <c r="O25" s="68">
        <f t="shared" si="3"/>
        <v>7.5</v>
      </c>
      <c r="P25" s="79"/>
      <c r="Q25" s="68">
        <f t="shared" si="4"/>
        <v>8.75</v>
      </c>
      <c r="R25" s="79"/>
      <c r="S25" s="68">
        <f t="shared" si="5"/>
        <v>10</v>
      </c>
      <c r="T25" s="79"/>
      <c r="U25" s="68">
        <f t="shared" si="6"/>
        <v>11.25</v>
      </c>
      <c r="V25" s="79"/>
      <c r="W25" s="68">
        <f t="shared" si="7"/>
        <v>12.5</v>
      </c>
      <c r="X25" s="79"/>
      <c r="Y25" s="68">
        <f t="shared" si="8"/>
        <v>13.75</v>
      </c>
      <c r="Z25" s="79"/>
      <c r="AA25" s="68">
        <f t="shared" si="9"/>
        <v>15</v>
      </c>
      <c r="AB25" s="70">
        <v>3</v>
      </c>
      <c r="AC25" s="68">
        <f t="shared" si="10"/>
        <v>13.25</v>
      </c>
      <c r="AD25" s="69" t="s">
        <v>143</v>
      </c>
      <c r="AE25" s="71">
        <f t="shared" si="11"/>
        <v>13.25</v>
      </c>
    </row>
    <row r="26" spans="1:31" x14ac:dyDescent="0.25">
      <c r="A26" s="298"/>
      <c r="B26" s="299"/>
      <c r="C26" s="63" t="s">
        <v>8</v>
      </c>
      <c r="D26" s="64">
        <v>1.26</v>
      </c>
      <c r="E26" s="64">
        <v>5</v>
      </c>
      <c r="F26" s="75"/>
      <c r="G26" s="68">
        <f>$E26/12-F26+D26</f>
        <v>1.6766666666666667</v>
      </c>
      <c r="H26" s="79"/>
      <c r="I26" s="70">
        <f t="shared" si="0"/>
        <v>2.0933333333333333</v>
      </c>
      <c r="J26" s="79"/>
      <c r="K26" s="70">
        <f t="shared" si="1"/>
        <v>2.5099999999999998</v>
      </c>
      <c r="L26" s="79"/>
      <c r="M26" s="70">
        <f t="shared" si="2"/>
        <v>2.9266666666666663</v>
      </c>
      <c r="N26" s="79"/>
      <c r="O26" s="70">
        <f t="shared" si="3"/>
        <v>3.3433333333333328</v>
      </c>
      <c r="P26" s="79"/>
      <c r="Q26" s="70">
        <f t="shared" si="4"/>
        <v>3.7599999999999993</v>
      </c>
      <c r="R26" s="79"/>
      <c r="S26" s="70">
        <f t="shared" si="5"/>
        <v>4.1766666666666659</v>
      </c>
      <c r="T26" s="79">
        <v>1</v>
      </c>
      <c r="U26" s="70">
        <f t="shared" si="6"/>
        <v>3.5933333333333328</v>
      </c>
      <c r="V26" s="79"/>
      <c r="W26" s="70">
        <f t="shared" si="7"/>
        <v>4.01</v>
      </c>
      <c r="X26" s="79">
        <v>2</v>
      </c>
      <c r="Y26" s="70">
        <f t="shared" si="8"/>
        <v>2.4266666666666667</v>
      </c>
      <c r="Z26" s="79">
        <v>4</v>
      </c>
      <c r="AA26" s="86">
        <f t="shared" si="9"/>
        <v>-1.1566666666666667</v>
      </c>
      <c r="AB26" s="70"/>
      <c r="AC26" s="70">
        <f t="shared" si="10"/>
        <v>-0.74</v>
      </c>
      <c r="AD26" s="69" t="s">
        <v>144</v>
      </c>
      <c r="AE26" s="71">
        <f t="shared" si="11"/>
        <v>-0.74</v>
      </c>
    </row>
    <row r="27" spans="1:31" x14ac:dyDescent="0.25">
      <c r="A27" s="300" t="s">
        <v>152</v>
      </c>
      <c r="B27" s="301"/>
      <c r="C27" s="63"/>
      <c r="D27" s="66"/>
      <c r="E27" s="66"/>
      <c r="F27" s="74"/>
      <c r="G27" s="68"/>
      <c r="H27" s="78"/>
      <c r="I27" s="68"/>
      <c r="J27" s="78"/>
      <c r="K27" s="68"/>
      <c r="L27" s="78"/>
      <c r="M27" s="68"/>
      <c r="N27" s="78"/>
      <c r="O27" s="68"/>
      <c r="P27" s="78"/>
      <c r="Q27" s="68"/>
      <c r="R27" s="78"/>
      <c r="S27" s="68"/>
      <c r="T27" s="78"/>
      <c r="U27" s="68"/>
      <c r="V27" s="78"/>
      <c r="W27" s="68"/>
      <c r="X27" s="78"/>
      <c r="Y27" s="68"/>
      <c r="Z27" s="78"/>
      <c r="AA27" s="68"/>
      <c r="AB27" s="68"/>
      <c r="AC27" s="68"/>
      <c r="AD27" s="69"/>
      <c r="AE27" s="69"/>
    </row>
    <row r="28" spans="1:31" x14ac:dyDescent="0.25">
      <c r="A28" s="302"/>
      <c r="B28" s="303"/>
      <c r="C28" s="65" t="s">
        <v>9</v>
      </c>
      <c r="D28" s="66">
        <v>3.75</v>
      </c>
      <c r="E28" s="66">
        <v>15</v>
      </c>
      <c r="F28" s="75"/>
      <c r="G28" s="68">
        <f>$E28/12-F28+D28</f>
        <v>5</v>
      </c>
      <c r="H28" s="79"/>
      <c r="I28" s="68">
        <f t="shared" si="0"/>
        <v>6.25</v>
      </c>
      <c r="J28" s="79"/>
      <c r="K28" s="68">
        <f t="shared" si="1"/>
        <v>7.5</v>
      </c>
      <c r="L28" s="79"/>
      <c r="M28" s="68">
        <f t="shared" si="2"/>
        <v>8.75</v>
      </c>
      <c r="N28" s="79">
        <v>3</v>
      </c>
      <c r="O28" s="68">
        <f t="shared" si="3"/>
        <v>7</v>
      </c>
      <c r="P28" s="79"/>
      <c r="Q28" s="68">
        <f t="shared" si="4"/>
        <v>8.25</v>
      </c>
      <c r="R28" s="79"/>
      <c r="S28" s="68">
        <f t="shared" si="5"/>
        <v>9.5</v>
      </c>
      <c r="T28" s="79"/>
      <c r="U28" s="68">
        <f t="shared" si="6"/>
        <v>10.75</v>
      </c>
      <c r="V28" s="79">
        <v>2</v>
      </c>
      <c r="W28" s="68">
        <f t="shared" si="7"/>
        <v>10</v>
      </c>
      <c r="X28" s="79"/>
      <c r="Y28" s="68">
        <f t="shared" si="8"/>
        <v>11.25</v>
      </c>
      <c r="Z28" s="80">
        <v>1</v>
      </c>
      <c r="AA28" s="68">
        <f t="shared" si="9"/>
        <v>11.5</v>
      </c>
      <c r="AB28" s="70">
        <v>6</v>
      </c>
      <c r="AC28" s="68">
        <f t="shared" si="10"/>
        <v>6.75</v>
      </c>
      <c r="AD28" s="69" t="s">
        <v>143</v>
      </c>
      <c r="AE28" s="71">
        <f t="shared" si="11"/>
        <v>6.75</v>
      </c>
    </row>
    <row r="29" spans="1:31" x14ac:dyDescent="0.25">
      <c r="A29" s="304"/>
      <c r="B29" s="305"/>
      <c r="C29" s="63" t="s">
        <v>8</v>
      </c>
      <c r="D29" s="64">
        <v>1.26</v>
      </c>
      <c r="E29" s="64">
        <v>5</v>
      </c>
      <c r="F29" s="75"/>
      <c r="G29" s="68">
        <f>$E29/12-F29+D29</f>
        <v>1.6766666666666667</v>
      </c>
      <c r="H29" s="79"/>
      <c r="I29" s="70">
        <f t="shared" si="0"/>
        <v>2.0933333333333333</v>
      </c>
      <c r="J29" s="79"/>
      <c r="K29" s="70">
        <f t="shared" si="1"/>
        <v>2.5099999999999998</v>
      </c>
      <c r="L29" s="79"/>
      <c r="M29" s="70">
        <f t="shared" si="2"/>
        <v>2.9266666666666663</v>
      </c>
      <c r="N29" s="79"/>
      <c r="O29" s="70">
        <f t="shared" si="3"/>
        <v>3.3433333333333328</v>
      </c>
      <c r="P29" s="79"/>
      <c r="Q29" s="70">
        <f t="shared" si="4"/>
        <v>3.7599999999999993</v>
      </c>
      <c r="R29" s="79"/>
      <c r="S29" s="70">
        <f t="shared" si="5"/>
        <v>4.1766666666666659</v>
      </c>
      <c r="T29" s="79"/>
      <c r="U29" s="70">
        <f t="shared" si="6"/>
        <v>4.5933333333333328</v>
      </c>
      <c r="V29" s="79"/>
      <c r="W29" s="70">
        <f t="shared" si="7"/>
        <v>5.01</v>
      </c>
      <c r="X29" s="79"/>
      <c r="Y29" s="70">
        <f t="shared" si="8"/>
        <v>5.4266666666666667</v>
      </c>
      <c r="Z29" s="79"/>
      <c r="AA29" s="70">
        <f t="shared" si="9"/>
        <v>5.8433333333333337</v>
      </c>
      <c r="AB29" s="70"/>
      <c r="AC29" s="70">
        <f t="shared" si="10"/>
        <v>6.2600000000000007</v>
      </c>
      <c r="AD29" s="69" t="s">
        <v>144</v>
      </c>
      <c r="AE29" s="71">
        <f t="shared" si="11"/>
        <v>6.2600000000000007</v>
      </c>
    </row>
    <row r="30" spans="1:31" x14ac:dyDescent="0.25">
      <c r="A30" s="294" t="s">
        <v>153</v>
      </c>
      <c r="B30" s="295"/>
      <c r="C30" s="63"/>
      <c r="D30" s="66"/>
      <c r="E30" s="66"/>
      <c r="F30" s="74"/>
      <c r="G30" s="68"/>
      <c r="H30" s="78"/>
      <c r="I30" s="68"/>
      <c r="J30" s="78"/>
      <c r="K30" s="68"/>
      <c r="L30" s="78"/>
      <c r="M30" s="68"/>
      <c r="N30" s="78"/>
      <c r="O30" s="68"/>
      <c r="P30" s="78"/>
      <c r="Q30" s="68"/>
      <c r="R30" s="78"/>
      <c r="S30" s="68"/>
      <c r="T30" s="78"/>
      <c r="U30" s="68"/>
      <c r="V30" s="78"/>
      <c r="W30" s="68"/>
      <c r="X30" s="78"/>
      <c r="Y30" s="68"/>
      <c r="Z30" s="78"/>
      <c r="AA30" s="68"/>
      <c r="AB30" s="68"/>
      <c r="AC30" s="68"/>
      <c r="AD30" s="69"/>
      <c r="AE30" s="69"/>
    </row>
    <row r="31" spans="1:31" x14ac:dyDescent="0.25">
      <c r="A31" s="296"/>
      <c r="B31" s="297"/>
      <c r="C31" s="65" t="s">
        <v>9</v>
      </c>
      <c r="D31" s="66"/>
      <c r="E31" s="66">
        <v>15</v>
      </c>
      <c r="F31" s="75"/>
      <c r="G31" s="70"/>
      <c r="H31" s="79"/>
      <c r="I31" s="68">
        <f t="shared" si="0"/>
        <v>1.25</v>
      </c>
      <c r="J31" s="79"/>
      <c r="K31" s="68">
        <f t="shared" si="1"/>
        <v>2.5</v>
      </c>
      <c r="L31" s="79"/>
      <c r="M31" s="68">
        <f t="shared" si="2"/>
        <v>3.75</v>
      </c>
      <c r="N31" s="79"/>
      <c r="O31" s="68">
        <f t="shared" si="3"/>
        <v>5</v>
      </c>
      <c r="P31" s="79"/>
      <c r="Q31" s="68">
        <f t="shared" si="4"/>
        <v>6.25</v>
      </c>
      <c r="R31" s="79"/>
      <c r="S31" s="68">
        <f t="shared" si="5"/>
        <v>7.5</v>
      </c>
      <c r="T31" s="79"/>
      <c r="U31" s="68">
        <f t="shared" si="6"/>
        <v>8.75</v>
      </c>
      <c r="V31" s="79"/>
      <c r="W31" s="68">
        <f t="shared" si="7"/>
        <v>10</v>
      </c>
      <c r="X31" s="79"/>
      <c r="Y31" s="68">
        <f t="shared" si="8"/>
        <v>11.25</v>
      </c>
      <c r="Z31" s="79"/>
      <c r="AA31" s="68">
        <f t="shared" si="9"/>
        <v>12.5</v>
      </c>
      <c r="AB31" s="70">
        <v>7</v>
      </c>
      <c r="AC31" s="68">
        <f t="shared" si="10"/>
        <v>6.75</v>
      </c>
      <c r="AD31" s="69" t="s">
        <v>143</v>
      </c>
      <c r="AE31" s="71">
        <f t="shared" si="11"/>
        <v>6.75</v>
      </c>
    </row>
    <row r="32" spans="1:31" x14ac:dyDescent="0.25">
      <c r="A32" s="298"/>
      <c r="B32" s="299"/>
      <c r="C32" s="63" t="s">
        <v>8</v>
      </c>
      <c r="D32" s="64"/>
      <c r="E32" s="64">
        <v>5</v>
      </c>
      <c r="F32" s="75"/>
      <c r="G32" s="70"/>
      <c r="H32" s="79"/>
      <c r="I32" s="70">
        <f t="shared" si="0"/>
        <v>0.41666666666666669</v>
      </c>
      <c r="J32" s="79"/>
      <c r="K32" s="70">
        <f t="shared" si="1"/>
        <v>0.83333333333333337</v>
      </c>
      <c r="L32" s="79"/>
      <c r="M32" s="70">
        <f t="shared" si="2"/>
        <v>1.25</v>
      </c>
      <c r="N32" s="79"/>
      <c r="O32" s="70">
        <f t="shared" si="3"/>
        <v>1.6666666666666667</v>
      </c>
      <c r="P32" s="79"/>
      <c r="Q32" s="70">
        <f t="shared" si="4"/>
        <v>2.0833333333333335</v>
      </c>
      <c r="R32" s="79"/>
      <c r="S32" s="70">
        <f t="shared" si="5"/>
        <v>2.5</v>
      </c>
      <c r="T32" s="79"/>
      <c r="U32" s="70">
        <f t="shared" si="6"/>
        <v>2.9166666666666665</v>
      </c>
      <c r="V32" s="79"/>
      <c r="W32" s="70">
        <f t="shared" si="7"/>
        <v>3.333333333333333</v>
      </c>
      <c r="X32" s="79"/>
      <c r="Y32" s="70">
        <f t="shared" si="8"/>
        <v>3.7499999999999996</v>
      </c>
      <c r="Z32" s="79"/>
      <c r="AA32" s="70">
        <f t="shared" si="9"/>
        <v>4.1666666666666661</v>
      </c>
      <c r="AB32" s="70"/>
      <c r="AC32" s="70">
        <f t="shared" si="10"/>
        <v>4.583333333333333</v>
      </c>
      <c r="AD32" s="69" t="s">
        <v>144</v>
      </c>
      <c r="AE32" s="71">
        <f t="shared" si="11"/>
        <v>4.583333333333333</v>
      </c>
    </row>
    <row r="33" spans="1:31" x14ac:dyDescent="0.25">
      <c r="A33" s="300" t="s">
        <v>154</v>
      </c>
      <c r="B33" s="301"/>
      <c r="C33" s="63"/>
      <c r="D33" s="66"/>
      <c r="E33" s="66"/>
      <c r="F33" s="74"/>
      <c r="G33" s="68"/>
      <c r="H33" s="78"/>
      <c r="I33" s="68"/>
      <c r="J33" s="78"/>
      <c r="K33" s="68"/>
      <c r="L33" s="78"/>
      <c r="M33" s="68"/>
      <c r="N33" s="78"/>
      <c r="O33" s="68"/>
      <c r="P33" s="78"/>
      <c r="Q33" s="68"/>
      <c r="R33" s="78"/>
      <c r="S33" s="68"/>
      <c r="T33" s="78"/>
      <c r="U33" s="68"/>
      <c r="V33" s="78"/>
      <c r="W33" s="68"/>
      <c r="X33" s="78"/>
      <c r="Y33" s="68"/>
      <c r="Z33" s="78"/>
      <c r="AA33" s="68"/>
      <c r="AB33" s="68"/>
      <c r="AC33" s="68"/>
      <c r="AD33" s="69"/>
      <c r="AE33" s="69"/>
    </row>
    <row r="34" spans="1:31" x14ac:dyDescent="0.25">
      <c r="A34" s="302"/>
      <c r="B34" s="303"/>
      <c r="C34" s="65" t="s">
        <v>9</v>
      </c>
      <c r="D34" s="66"/>
      <c r="E34" s="66">
        <v>15</v>
      </c>
      <c r="F34" s="75"/>
      <c r="G34" s="70"/>
      <c r="H34" s="79"/>
      <c r="I34" s="70"/>
      <c r="J34" s="79"/>
      <c r="K34" s="70"/>
      <c r="L34" s="79"/>
      <c r="M34" s="68">
        <f t="shared" si="2"/>
        <v>1.25</v>
      </c>
      <c r="N34" s="79"/>
      <c r="O34" s="68">
        <f t="shared" si="3"/>
        <v>2.5</v>
      </c>
      <c r="P34" s="79"/>
      <c r="Q34" s="68">
        <f t="shared" si="4"/>
        <v>3.75</v>
      </c>
      <c r="R34" s="79"/>
      <c r="S34" s="68">
        <f t="shared" si="5"/>
        <v>5</v>
      </c>
      <c r="T34" s="79"/>
      <c r="U34" s="68">
        <f t="shared" si="6"/>
        <v>6.25</v>
      </c>
      <c r="V34" s="79"/>
      <c r="W34" s="68">
        <f t="shared" si="7"/>
        <v>7.5</v>
      </c>
      <c r="X34" s="79"/>
      <c r="Y34" s="68">
        <f t="shared" si="8"/>
        <v>8.75</v>
      </c>
      <c r="Z34" s="80">
        <v>1</v>
      </c>
      <c r="AA34" s="68">
        <f t="shared" si="9"/>
        <v>9</v>
      </c>
      <c r="AB34" s="70">
        <v>3</v>
      </c>
      <c r="AC34" s="68">
        <f t="shared" si="10"/>
        <v>7.25</v>
      </c>
      <c r="AD34" s="69" t="s">
        <v>143</v>
      </c>
      <c r="AE34" s="71">
        <f t="shared" si="11"/>
        <v>7.25</v>
      </c>
    </row>
    <row r="35" spans="1:31" x14ac:dyDescent="0.25">
      <c r="A35" s="304"/>
      <c r="B35" s="305"/>
      <c r="C35" s="63" t="s">
        <v>8</v>
      </c>
      <c r="D35" s="64"/>
      <c r="E35" s="64">
        <v>5</v>
      </c>
      <c r="F35" s="75"/>
      <c r="G35" s="70"/>
      <c r="H35" s="79"/>
      <c r="I35" s="70"/>
      <c r="J35" s="79"/>
      <c r="K35" s="70"/>
      <c r="L35" s="79"/>
      <c r="M35" s="70">
        <f t="shared" si="2"/>
        <v>0.41666666666666669</v>
      </c>
      <c r="N35" s="79"/>
      <c r="O35" s="70">
        <f t="shared" ref="O35:O53" si="13">$E35/12+M35-N35</f>
        <v>0.83333333333333337</v>
      </c>
      <c r="P35" s="79"/>
      <c r="Q35" s="70">
        <f t="shared" ref="Q35:Q53" si="14">$E35/12+O35-P35</f>
        <v>1.25</v>
      </c>
      <c r="R35" s="79"/>
      <c r="S35" s="70">
        <f t="shared" ref="S35:S66" si="15">$E35/12+Q35-R35</f>
        <v>1.6666666666666667</v>
      </c>
      <c r="T35" s="79"/>
      <c r="U35" s="70">
        <f t="shared" ref="U35:U66" si="16">$E35/12+S35-T35</f>
        <v>2.0833333333333335</v>
      </c>
      <c r="V35" s="79"/>
      <c r="W35" s="70">
        <f t="shared" ref="W35:W66" si="17">$E35/12+U35-V35</f>
        <v>2.5</v>
      </c>
      <c r="X35" s="79">
        <v>1</v>
      </c>
      <c r="Y35" s="70">
        <f t="shared" ref="Y35:Y66" si="18">$E35/12+W35-X35</f>
        <v>1.9166666666666665</v>
      </c>
      <c r="Z35" s="79"/>
      <c r="AA35" s="70">
        <f t="shared" ref="AA35:AA66" si="19">$E35/12+Y35-Z35</f>
        <v>2.333333333333333</v>
      </c>
      <c r="AB35" s="70"/>
      <c r="AC35" s="70">
        <f t="shared" ref="AC35:AC66" si="20">$E35/12+AA35-AB35</f>
        <v>2.7499999999999996</v>
      </c>
      <c r="AD35" s="69" t="s">
        <v>144</v>
      </c>
      <c r="AE35" s="71">
        <f t="shared" si="11"/>
        <v>2.7499999999999996</v>
      </c>
    </row>
    <row r="36" spans="1:31" x14ac:dyDescent="0.25">
      <c r="A36" s="294" t="s">
        <v>155</v>
      </c>
      <c r="B36" s="295"/>
      <c r="C36" s="63"/>
      <c r="D36" s="66"/>
      <c r="E36" s="66"/>
      <c r="F36" s="74"/>
      <c r="G36" s="68"/>
      <c r="H36" s="78"/>
      <c r="I36" s="68"/>
      <c r="J36" s="78"/>
      <c r="K36" s="68"/>
      <c r="L36" s="78"/>
      <c r="M36" s="68"/>
      <c r="N36" s="78"/>
      <c r="O36" s="68"/>
      <c r="P36" s="78"/>
      <c r="Q36" s="68"/>
      <c r="R36" s="78"/>
      <c r="S36" s="68"/>
      <c r="T36" s="78"/>
      <c r="U36" s="68"/>
      <c r="V36" s="78"/>
      <c r="W36" s="68"/>
      <c r="X36" s="78"/>
      <c r="Y36" s="68"/>
      <c r="Z36" s="78"/>
      <c r="AA36" s="68"/>
      <c r="AB36" s="68"/>
      <c r="AC36" s="68"/>
      <c r="AD36" s="69"/>
      <c r="AE36" s="69"/>
    </row>
    <row r="37" spans="1:31" x14ac:dyDescent="0.25">
      <c r="A37" s="296"/>
      <c r="B37" s="297"/>
      <c r="C37" s="65" t="s">
        <v>9</v>
      </c>
      <c r="D37" s="66"/>
      <c r="E37" s="66">
        <v>15</v>
      </c>
      <c r="F37" s="75"/>
      <c r="G37" s="70"/>
      <c r="H37" s="79"/>
      <c r="I37" s="70"/>
      <c r="J37" s="79"/>
      <c r="K37" s="70"/>
      <c r="L37" s="79"/>
      <c r="M37" s="68">
        <f t="shared" si="2"/>
        <v>1.25</v>
      </c>
      <c r="N37" s="79"/>
      <c r="O37" s="68">
        <f t="shared" si="13"/>
        <v>2.5</v>
      </c>
      <c r="P37" s="79"/>
      <c r="Q37" s="68">
        <f t="shared" si="14"/>
        <v>3.75</v>
      </c>
      <c r="R37" s="79"/>
      <c r="S37" s="68">
        <f t="shared" si="15"/>
        <v>5</v>
      </c>
      <c r="T37" s="79"/>
      <c r="U37" s="68">
        <f t="shared" si="16"/>
        <v>6.25</v>
      </c>
      <c r="V37" s="79"/>
      <c r="W37" s="68">
        <f t="shared" si="17"/>
        <v>7.5</v>
      </c>
      <c r="X37" s="79"/>
      <c r="Y37" s="68">
        <f t="shared" si="18"/>
        <v>8.75</v>
      </c>
      <c r="Z37" s="79">
        <v>2</v>
      </c>
      <c r="AA37" s="68">
        <f t="shared" si="19"/>
        <v>8</v>
      </c>
      <c r="AB37" s="70">
        <v>5</v>
      </c>
      <c r="AC37" s="68">
        <f t="shared" si="20"/>
        <v>4.25</v>
      </c>
      <c r="AD37" s="69" t="s">
        <v>143</v>
      </c>
      <c r="AE37" s="71">
        <f t="shared" si="11"/>
        <v>4.25</v>
      </c>
    </row>
    <row r="38" spans="1:31" x14ac:dyDescent="0.25">
      <c r="A38" s="298"/>
      <c r="B38" s="299"/>
      <c r="C38" s="63" t="s">
        <v>8</v>
      </c>
      <c r="D38" s="64"/>
      <c r="E38" s="64">
        <v>5</v>
      </c>
      <c r="F38" s="75"/>
      <c r="G38" s="70"/>
      <c r="H38" s="79"/>
      <c r="I38" s="70"/>
      <c r="J38" s="79"/>
      <c r="K38" s="70"/>
      <c r="L38" s="79"/>
      <c r="M38" s="70">
        <f t="shared" si="2"/>
        <v>0.41666666666666669</v>
      </c>
      <c r="N38" s="79"/>
      <c r="O38" s="70">
        <f t="shared" si="13"/>
        <v>0.83333333333333337</v>
      </c>
      <c r="P38" s="79"/>
      <c r="Q38" s="70">
        <f t="shared" si="14"/>
        <v>1.25</v>
      </c>
      <c r="R38" s="79"/>
      <c r="S38" s="70">
        <f t="shared" si="15"/>
        <v>1.6666666666666667</v>
      </c>
      <c r="T38" s="79"/>
      <c r="U38" s="70">
        <f t="shared" si="16"/>
        <v>2.0833333333333335</v>
      </c>
      <c r="V38" s="79"/>
      <c r="W38" s="70">
        <f t="shared" si="17"/>
        <v>2.5</v>
      </c>
      <c r="X38" s="79"/>
      <c r="Y38" s="70">
        <f t="shared" si="18"/>
        <v>2.9166666666666665</v>
      </c>
      <c r="Z38" s="79"/>
      <c r="AA38" s="70">
        <f t="shared" si="19"/>
        <v>3.333333333333333</v>
      </c>
      <c r="AB38" s="70"/>
      <c r="AC38" s="70">
        <f t="shared" si="20"/>
        <v>3.7499999999999996</v>
      </c>
      <c r="AD38" s="69" t="s">
        <v>144</v>
      </c>
      <c r="AE38" s="71">
        <f t="shared" si="11"/>
        <v>3.7499999999999996</v>
      </c>
    </row>
    <row r="39" spans="1:31" x14ac:dyDescent="0.25">
      <c r="A39" s="300" t="s">
        <v>156</v>
      </c>
      <c r="B39" s="301"/>
      <c r="C39" s="63"/>
      <c r="D39" s="66"/>
      <c r="E39" s="66"/>
      <c r="F39" s="74"/>
      <c r="G39" s="68"/>
      <c r="H39" s="78"/>
      <c r="I39" s="68"/>
      <c r="J39" s="78"/>
      <c r="K39" s="68"/>
      <c r="L39" s="78"/>
      <c r="M39" s="68"/>
      <c r="N39" s="78"/>
      <c r="O39" s="68"/>
      <c r="P39" s="78"/>
      <c r="Q39" s="68"/>
      <c r="R39" s="78"/>
      <c r="S39" s="68"/>
      <c r="T39" s="78"/>
      <c r="U39" s="68"/>
      <c r="V39" s="78"/>
      <c r="W39" s="68"/>
      <c r="X39" s="78"/>
      <c r="Y39" s="68"/>
      <c r="Z39" s="78"/>
      <c r="AA39" s="68"/>
      <c r="AB39" s="68"/>
      <c r="AC39" s="68"/>
      <c r="AD39" s="69"/>
      <c r="AE39" s="69"/>
    </row>
    <row r="40" spans="1:31" x14ac:dyDescent="0.25">
      <c r="A40" s="302"/>
      <c r="B40" s="303"/>
      <c r="C40" s="65" t="s">
        <v>9</v>
      </c>
      <c r="D40" s="66"/>
      <c r="E40" s="66">
        <v>15</v>
      </c>
      <c r="F40" s="75"/>
      <c r="G40" s="70"/>
      <c r="H40" s="79"/>
      <c r="I40" s="70"/>
      <c r="J40" s="79"/>
      <c r="K40" s="70"/>
      <c r="L40" s="79">
        <v>0.5</v>
      </c>
      <c r="M40" s="68">
        <f t="shared" si="2"/>
        <v>0.75</v>
      </c>
      <c r="N40" s="79"/>
      <c r="O40" s="68">
        <f t="shared" si="13"/>
        <v>2</v>
      </c>
      <c r="P40" s="79"/>
      <c r="Q40" s="68">
        <f t="shared" si="14"/>
        <v>3.25</v>
      </c>
      <c r="R40" s="79"/>
      <c r="S40" s="68">
        <f t="shared" si="15"/>
        <v>4.5</v>
      </c>
      <c r="T40" s="79"/>
      <c r="U40" s="68">
        <f t="shared" si="16"/>
        <v>5.75</v>
      </c>
      <c r="V40" s="79"/>
      <c r="W40" s="68">
        <f t="shared" si="17"/>
        <v>7</v>
      </c>
      <c r="X40" s="79"/>
      <c r="Y40" s="68">
        <f t="shared" si="18"/>
        <v>8.25</v>
      </c>
      <c r="Z40" s="79"/>
      <c r="AA40" s="68">
        <f t="shared" si="19"/>
        <v>9.5</v>
      </c>
      <c r="AB40" s="70">
        <v>5</v>
      </c>
      <c r="AC40" s="68">
        <f t="shared" si="20"/>
        <v>5.75</v>
      </c>
      <c r="AD40" s="69" t="s">
        <v>143</v>
      </c>
      <c r="AE40" s="71">
        <f t="shared" si="11"/>
        <v>5.75</v>
      </c>
    </row>
    <row r="41" spans="1:31" x14ac:dyDescent="0.25">
      <c r="A41" s="304"/>
      <c r="B41" s="305"/>
      <c r="C41" s="63" t="s">
        <v>8</v>
      </c>
      <c r="D41" s="64"/>
      <c r="E41" s="64">
        <v>5</v>
      </c>
      <c r="F41" s="75"/>
      <c r="G41" s="70"/>
      <c r="H41" s="79"/>
      <c r="I41" s="70"/>
      <c r="J41" s="79"/>
      <c r="K41" s="70"/>
      <c r="L41" s="79"/>
      <c r="M41" s="70">
        <f t="shared" si="2"/>
        <v>0.41666666666666669</v>
      </c>
      <c r="N41" s="79"/>
      <c r="O41" s="70">
        <f t="shared" si="13"/>
        <v>0.83333333333333337</v>
      </c>
      <c r="P41" s="79"/>
      <c r="Q41" s="70">
        <f>$E41/12+O41-P41</f>
        <v>1.25</v>
      </c>
      <c r="R41" s="79"/>
      <c r="S41" s="70">
        <f t="shared" si="15"/>
        <v>1.6666666666666667</v>
      </c>
      <c r="T41" s="80">
        <v>1</v>
      </c>
      <c r="U41" s="70">
        <f t="shared" si="16"/>
        <v>1.0833333333333335</v>
      </c>
      <c r="V41" s="79"/>
      <c r="W41" s="70">
        <f t="shared" si="17"/>
        <v>1.5000000000000002</v>
      </c>
      <c r="X41" s="80">
        <v>1</v>
      </c>
      <c r="Y41" s="70">
        <f t="shared" si="18"/>
        <v>0.91666666666666696</v>
      </c>
      <c r="Z41" s="79"/>
      <c r="AA41" s="70">
        <f t="shared" si="19"/>
        <v>1.3333333333333337</v>
      </c>
      <c r="AB41" s="70"/>
      <c r="AC41" s="70">
        <f t="shared" si="20"/>
        <v>1.7500000000000004</v>
      </c>
      <c r="AD41" s="69" t="s">
        <v>144</v>
      </c>
      <c r="AE41" s="71">
        <f t="shared" si="11"/>
        <v>1.7500000000000004</v>
      </c>
    </row>
    <row r="42" spans="1:31" x14ac:dyDescent="0.25">
      <c r="A42" s="294" t="s">
        <v>157</v>
      </c>
      <c r="B42" s="295"/>
      <c r="C42" s="63"/>
      <c r="D42" s="66"/>
      <c r="E42" s="66"/>
      <c r="F42" s="74"/>
      <c r="G42" s="68"/>
      <c r="H42" s="78"/>
      <c r="I42" s="68"/>
      <c r="J42" s="78"/>
      <c r="K42" s="68"/>
      <c r="L42" s="78"/>
      <c r="M42" s="68"/>
      <c r="N42" s="78"/>
      <c r="O42" s="68"/>
      <c r="P42" s="78"/>
      <c r="Q42" s="68"/>
      <c r="R42" s="78"/>
      <c r="S42" s="68"/>
      <c r="T42" s="78"/>
      <c r="U42" s="68"/>
      <c r="V42" s="78"/>
      <c r="W42" s="68"/>
      <c r="X42" s="78"/>
      <c r="Y42" s="68"/>
      <c r="Z42" s="78"/>
      <c r="AA42" s="68"/>
      <c r="AB42" s="68"/>
      <c r="AC42" s="68"/>
      <c r="AD42" s="69"/>
      <c r="AE42" s="69"/>
    </row>
    <row r="43" spans="1:31" x14ac:dyDescent="0.25">
      <c r="A43" s="296"/>
      <c r="B43" s="297"/>
      <c r="C43" s="65" t="s">
        <v>9</v>
      </c>
      <c r="D43" s="66"/>
      <c r="E43" s="66">
        <v>15</v>
      </c>
      <c r="F43" s="75"/>
      <c r="G43" s="70"/>
      <c r="H43" s="79"/>
      <c r="I43" s="70"/>
      <c r="J43" s="79"/>
      <c r="K43" s="70"/>
      <c r="L43" s="79"/>
      <c r="M43" s="68">
        <f t="shared" si="2"/>
        <v>1.25</v>
      </c>
      <c r="N43" s="79"/>
      <c r="O43" s="68">
        <f t="shared" si="13"/>
        <v>2.5</v>
      </c>
      <c r="P43" s="79"/>
      <c r="Q43" s="68">
        <f t="shared" si="14"/>
        <v>3.75</v>
      </c>
      <c r="R43" s="79"/>
      <c r="S43" s="68">
        <f t="shared" si="15"/>
        <v>5</v>
      </c>
      <c r="T43" s="79"/>
      <c r="U43" s="68">
        <f t="shared" si="16"/>
        <v>6.25</v>
      </c>
      <c r="V43" s="79"/>
      <c r="W43" s="68">
        <f t="shared" si="17"/>
        <v>7.5</v>
      </c>
      <c r="X43" s="79"/>
      <c r="Y43" s="68">
        <f t="shared" si="18"/>
        <v>8.75</v>
      </c>
      <c r="Z43" s="79">
        <v>1</v>
      </c>
      <c r="AA43" s="68">
        <f t="shared" si="19"/>
        <v>9</v>
      </c>
      <c r="AB43" s="70">
        <v>5</v>
      </c>
      <c r="AC43" s="68">
        <f t="shared" si="20"/>
        <v>5.25</v>
      </c>
      <c r="AD43" s="69" t="s">
        <v>143</v>
      </c>
      <c r="AE43" s="71">
        <f t="shared" si="11"/>
        <v>5.25</v>
      </c>
    </row>
    <row r="44" spans="1:31" x14ac:dyDescent="0.25">
      <c r="A44" s="298"/>
      <c r="B44" s="299"/>
      <c r="C44" s="63" t="s">
        <v>8</v>
      </c>
      <c r="D44" s="64"/>
      <c r="E44" s="64">
        <v>5</v>
      </c>
      <c r="F44" s="75"/>
      <c r="G44" s="70"/>
      <c r="H44" s="79"/>
      <c r="I44" s="70"/>
      <c r="J44" s="79"/>
      <c r="K44" s="70"/>
      <c r="L44" s="79"/>
      <c r="M44" s="70">
        <f t="shared" si="2"/>
        <v>0.41666666666666669</v>
      </c>
      <c r="N44" s="79"/>
      <c r="O44" s="70">
        <f t="shared" si="13"/>
        <v>0.83333333333333337</v>
      </c>
      <c r="P44" s="79"/>
      <c r="Q44" s="70">
        <f t="shared" si="14"/>
        <v>1.25</v>
      </c>
      <c r="R44" s="79"/>
      <c r="S44" s="70">
        <f t="shared" si="15"/>
        <v>1.6666666666666667</v>
      </c>
      <c r="T44" s="79"/>
      <c r="U44" s="70">
        <f t="shared" si="16"/>
        <v>2.0833333333333335</v>
      </c>
      <c r="V44" s="79"/>
      <c r="W44" s="70">
        <f t="shared" si="17"/>
        <v>2.5</v>
      </c>
      <c r="X44" s="79"/>
      <c r="Y44" s="70">
        <f t="shared" si="18"/>
        <v>2.9166666666666665</v>
      </c>
      <c r="Z44" s="79">
        <v>1</v>
      </c>
      <c r="AA44" s="70">
        <f t="shared" si="19"/>
        <v>2.333333333333333</v>
      </c>
      <c r="AB44" s="70"/>
      <c r="AC44" s="70">
        <f t="shared" si="20"/>
        <v>2.7499999999999996</v>
      </c>
      <c r="AD44" s="69" t="s">
        <v>144</v>
      </c>
      <c r="AE44" s="71">
        <f t="shared" si="11"/>
        <v>2.7499999999999996</v>
      </c>
    </row>
    <row r="45" spans="1:31" x14ac:dyDescent="0.25">
      <c r="A45" s="294" t="s">
        <v>158</v>
      </c>
      <c r="B45" s="295"/>
      <c r="C45" s="63"/>
      <c r="D45" s="66"/>
      <c r="E45" s="66"/>
      <c r="F45" s="74"/>
      <c r="G45" s="68"/>
      <c r="H45" s="78"/>
      <c r="I45" s="68"/>
      <c r="J45" s="78"/>
      <c r="K45" s="68"/>
      <c r="L45" s="78"/>
      <c r="M45" s="68"/>
      <c r="N45" s="78"/>
      <c r="O45" s="68"/>
      <c r="P45" s="78"/>
      <c r="Q45" s="68"/>
      <c r="R45" s="78"/>
      <c r="S45" s="68"/>
      <c r="T45" s="78"/>
      <c r="U45" s="68"/>
      <c r="V45" s="78"/>
      <c r="W45" s="68"/>
      <c r="X45" s="78"/>
      <c r="Y45" s="68"/>
      <c r="Z45" s="78"/>
      <c r="AA45" s="68"/>
      <c r="AB45" s="68"/>
      <c r="AC45" s="68"/>
      <c r="AD45" s="69"/>
      <c r="AE45" s="69"/>
    </row>
    <row r="46" spans="1:31" x14ac:dyDescent="0.25">
      <c r="A46" s="296"/>
      <c r="B46" s="297"/>
      <c r="C46" s="65" t="s">
        <v>9</v>
      </c>
      <c r="D46" s="66"/>
      <c r="E46" s="66">
        <v>15</v>
      </c>
      <c r="F46" s="75"/>
      <c r="G46" s="70"/>
      <c r="H46" s="79"/>
      <c r="I46" s="70"/>
      <c r="J46" s="79"/>
      <c r="K46" s="70"/>
      <c r="L46" s="79"/>
      <c r="M46" s="70"/>
      <c r="N46" s="79"/>
      <c r="O46" s="68">
        <f t="shared" si="13"/>
        <v>1.25</v>
      </c>
      <c r="P46" s="79"/>
      <c r="Q46" s="68">
        <f t="shared" si="14"/>
        <v>2.5</v>
      </c>
      <c r="R46" s="79"/>
      <c r="S46" s="68">
        <f t="shared" si="15"/>
        <v>3.75</v>
      </c>
      <c r="T46" s="80"/>
      <c r="U46" s="68">
        <f t="shared" si="16"/>
        <v>5</v>
      </c>
      <c r="V46" s="79"/>
      <c r="W46" s="68">
        <f t="shared" si="17"/>
        <v>6.25</v>
      </c>
      <c r="X46" s="79"/>
      <c r="Y46" s="68">
        <f t="shared" si="18"/>
        <v>7.5</v>
      </c>
      <c r="Z46" s="79">
        <v>1</v>
      </c>
      <c r="AA46" s="68">
        <f t="shared" si="19"/>
        <v>7.75</v>
      </c>
      <c r="AB46" s="70">
        <v>3</v>
      </c>
      <c r="AC46" s="68">
        <f t="shared" si="20"/>
        <v>6</v>
      </c>
      <c r="AD46" s="69" t="s">
        <v>143</v>
      </c>
      <c r="AE46" s="71">
        <f t="shared" si="11"/>
        <v>6</v>
      </c>
    </row>
    <row r="47" spans="1:31" x14ac:dyDescent="0.25">
      <c r="A47" s="298"/>
      <c r="B47" s="299"/>
      <c r="C47" s="63" t="s">
        <v>8</v>
      </c>
      <c r="D47" s="64"/>
      <c r="E47" s="64">
        <v>5</v>
      </c>
      <c r="F47" s="75"/>
      <c r="G47" s="70"/>
      <c r="H47" s="79"/>
      <c r="I47" s="70"/>
      <c r="J47" s="79"/>
      <c r="K47" s="70"/>
      <c r="L47" s="79"/>
      <c r="M47" s="70"/>
      <c r="N47" s="79"/>
      <c r="O47" s="70">
        <f t="shared" si="13"/>
        <v>0.41666666666666669</v>
      </c>
      <c r="P47" s="79"/>
      <c r="Q47" s="70">
        <f t="shared" si="14"/>
        <v>0.83333333333333337</v>
      </c>
      <c r="R47" s="79"/>
      <c r="S47" s="70">
        <f t="shared" si="15"/>
        <v>1.25</v>
      </c>
      <c r="T47" s="79"/>
      <c r="U47" s="70">
        <f t="shared" si="16"/>
        <v>1.6666666666666667</v>
      </c>
      <c r="V47" s="79"/>
      <c r="W47" s="70">
        <f t="shared" si="17"/>
        <v>2.0833333333333335</v>
      </c>
      <c r="X47" s="79"/>
      <c r="Y47" s="70">
        <f t="shared" si="18"/>
        <v>2.5</v>
      </c>
      <c r="Z47" s="79"/>
      <c r="AA47" s="70">
        <f t="shared" si="19"/>
        <v>2.9166666666666665</v>
      </c>
      <c r="AB47" s="70"/>
      <c r="AC47" s="70">
        <f t="shared" si="20"/>
        <v>3.333333333333333</v>
      </c>
      <c r="AD47" s="69" t="s">
        <v>144</v>
      </c>
      <c r="AE47" s="71">
        <f t="shared" si="11"/>
        <v>3.333333333333333</v>
      </c>
    </row>
    <row r="48" spans="1:31" x14ac:dyDescent="0.25">
      <c r="A48" s="294" t="s">
        <v>159</v>
      </c>
      <c r="B48" s="295"/>
      <c r="C48" s="63"/>
      <c r="D48" s="66"/>
      <c r="E48" s="66"/>
      <c r="F48" s="74"/>
      <c r="G48" s="68"/>
      <c r="H48" s="78"/>
      <c r="I48" s="68"/>
      <c r="J48" s="78"/>
      <c r="K48" s="68"/>
      <c r="L48" s="78"/>
      <c r="M48" s="68"/>
      <c r="N48" s="78"/>
      <c r="O48" s="68"/>
      <c r="P48" s="78"/>
      <c r="Q48" s="68"/>
      <c r="R48" s="78"/>
      <c r="S48" s="68"/>
      <c r="T48" s="78"/>
      <c r="U48" s="68"/>
      <c r="V48" s="78"/>
      <c r="W48" s="68"/>
      <c r="X48" s="78"/>
      <c r="Y48" s="68"/>
      <c r="Z48" s="78"/>
      <c r="AA48" s="68"/>
      <c r="AB48" s="68"/>
      <c r="AC48" s="68"/>
      <c r="AD48" s="69"/>
      <c r="AE48" s="69"/>
    </row>
    <row r="49" spans="1:31" x14ac:dyDescent="0.25">
      <c r="A49" s="296"/>
      <c r="B49" s="297"/>
      <c r="C49" s="65" t="s">
        <v>9</v>
      </c>
      <c r="D49" s="66"/>
      <c r="E49" s="66">
        <v>15</v>
      </c>
      <c r="F49" s="75"/>
      <c r="G49" s="70"/>
      <c r="H49" s="79"/>
      <c r="I49" s="70"/>
      <c r="J49" s="79"/>
      <c r="K49" s="70"/>
      <c r="L49" s="79"/>
      <c r="M49" s="70"/>
      <c r="N49" s="79"/>
      <c r="O49" s="68">
        <f t="shared" si="13"/>
        <v>1.25</v>
      </c>
      <c r="P49" s="79"/>
      <c r="Q49" s="68">
        <f t="shared" si="14"/>
        <v>2.5</v>
      </c>
      <c r="R49" s="79"/>
      <c r="S49" s="68">
        <f t="shared" si="15"/>
        <v>3.75</v>
      </c>
      <c r="T49" s="79"/>
      <c r="U49" s="68">
        <f t="shared" si="16"/>
        <v>5</v>
      </c>
      <c r="V49" s="79"/>
      <c r="W49" s="68">
        <f t="shared" si="17"/>
        <v>6.25</v>
      </c>
      <c r="X49" s="79"/>
      <c r="Y49" s="68">
        <f t="shared" si="18"/>
        <v>7.5</v>
      </c>
      <c r="Z49" s="79"/>
      <c r="AA49" s="68">
        <f t="shared" si="19"/>
        <v>8.75</v>
      </c>
      <c r="AB49" s="70"/>
      <c r="AC49" s="68">
        <f t="shared" si="20"/>
        <v>10</v>
      </c>
      <c r="AD49" s="69" t="s">
        <v>143</v>
      </c>
      <c r="AE49" s="71">
        <f t="shared" si="11"/>
        <v>10</v>
      </c>
    </row>
    <row r="50" spans="1:31" x14ac:dyDescent="0.25">
      <c r="A50" s="298"/>
      <c r="B50" s="299"/>
      <c r="C50" s="63" t="s">
        <v>8</v>
      </c>
      <c r="D50" s="64"/>
      <c r="E50" s="64">
        <v>5</v>
      </c>
      <c r="F50" s="75"/>
      <c r="G50" s="70"/>
      <c r="H50" s="79"/>
      <c r="I50" s="70"/>
      <c r="J50" s="79"/>
      <c r="K50" s="70"/>
      <c r="L50" s="79"/>
      <c r="M50" s="70"/>
      <c r="N50" s="79"/>
      <c r="O50" s="70">
        <f t="shared" si="13"/>
        <v>0.41666666666666669</v>
      </c>
      <c r="P50" s="79"/>
      <c r="Q50" s="70">
        <f t="shared" si="14"/>
        <v>0.83333333333333337</v>
      </c>
      <c r="R50" s="79"/>
      <c r="S50" s="70">
        <f t="shared" si="15"/>
        <v>1.25</v>
      </c>
      <c r="T50" s="79"/>
      <c r="U50" s="70">
        <f t="shared" si="16"/>
        <v>1.6666666666666667</v>
      </c>
      <c r="V50" s="79"/>
      <c r="W50" s="70">
        <f t="shared" si="17"/>
        <v>2.0833333333333335</v>
      </c>
      <c r="X50" s="79"/>
      <c r="Y50" s="70">
        <f t="shared" si="18"/>
        <v>2.5</v>
      </c>
      <c r="Z50" s="79"/>
      <c r="AA50" s="70">
        <f t="shared" si="19"/>
        <v>2.9166666666666665</v>
      </c>
      <c r="AB50" s="70"/>
      <c r="AC50" s="70">
        <f t="shared" si="20"/>
        <v>3.333333333333333</v>
      </c>
      <c r="AD50" s="69" t="s">
        <v>144</v>
      </c>
      <c r="AE50" s="71">
        <f t="shared" si="11"/>
        <v>3.333333333333333</v>
      </c>
    </row>
    <row r="51" spans="1:31" x14ac:dyDescent="0.25">
      <c r="A51" s="294" t="s">
        <v>160</v>
      </c>
      <c r="B51" s="295"/>
      <c r="C51" s="63"/>
      <c r="D51" s="66"/>
      <c r="E51" s="66"/>
      <c r="F51" s="74"/>
      <c r="G51" s="68"/>
      <c r="H51" s="78"/>
      <c r="I51" s="68"/>
      <c r="J51" s="78"/>
      <c r="K51" s="68"/>
      <c r="L51" s="78"/>
      <c r="M51" s="68"/>
      <c r="N51" s="78"/>
      <c r="O51" s="68"/>
      <c r="P51" s="78"/>
      <c r="Q51" s="68"/>
      <c r="R51" s="78"/>
      <c r="S51" s="68"/>
      <c r="T51" s="78"/>
      <c r="U51" s="68"/>
      <c r="V51" s="78"/>
      <c r="W51" s="68"/>
      <c r="X51" s="78"/>
      <c r="Y51" s="68"/>
      <c r="Z51" s="78"/>
      <c r="AA51" s="68"/>
      <c r="AB51" s="68"/>
      <c r="AC51" s="68"/>
      <c r="AD51" s="69"/>
      <c r="AE51" s="69"/>
    </row>
    <row r="52" spans="1:31" x14ac:dyDescent="0.25">
      <c r="A52" s="296"/>
      <c r="B52" s="297"/>
      <c r="C52" s="65" t="s">
        <v>9</v>
      </c>
      <c r="D52" s="66"/>
      <c r="E52" s="66">
        <v>15</v>
      </c>
      <c r="F52" s="75"/>
      <c r="G52" s="70"/>
      <c r="H52" s="79"/>
      <c r="I52" s="70"/>
      <c r="J52" s="79"/>
      <c r="K52" s="70"/>
      <c r="L52" s="79"/>
      <c r="M52" s="70"/>
      <c r="N52" s="79"/>
      <c r="O52" s="68">
        <f t="shared" si="13"/>
        <v>1.25</v>
      </c>
      <c r="P52" s="79"/>
      <c r="Q52" s="68">
        <f t="shared" si="14"/>
        <v>2.5</v>
      </c>
      <c r="R52" s="79"/>
      <c r="S52" s="68">
        <f t="shared" si="15"/>
        <v>3.75</v>
      </c>
      <c r="T52" s="79"/>
      <c r="U52" s="68">
        <f t="shared" si="16"/>
        <v>5</v>
      </c>
      <c r="V52" s="79"/>
      <c r="W52" s="68">
        <f t="shared" si="17"/>
        <v>6.25</v>
      </c>
      <c r="X52" s="79"/>
      <c r="Y52" s="68">
        <f t="shared" si="18"/>
        <v>7.5</v>
      </c>
      <c r="Z52" s="79"/>
      <c r="AA52" s="68">
        <f t="shared" si="19"/>
        <v>8.75</v>
      </c>
      <c r="AB52" s="70">
        <v>3</v>
      </c>
      <c r="AC52" s="68">
        <f t="shared" si="20"/>
        <v>7</v>
      </c>
      <c r="AD52" s="69" t="s">
        <v>143</v>
      </c>
      <c r="AE52" s="71">
        <f t="shared" si="11"/>
        <v>7</v>
      </c>
    </row>
    <row r="53" spans="1:31" x14ac:dyDescent="0.25">
      <c r="A53" s="298"/>
      <c r="B53" s="299"/>
      <c r="C53" s="63" t="s">
        <v>8</v>
      </c>
      <c r="D53" s="64"/>
      <c r="E53" s="64">
        <v>5</v>
      </c>
      <c r="F53" s="75"/>
      <c r="G53" s="70"/>
      <c r="H53" s="79"/>
      <c r="I53" s="70"/>
      <c r="J53" s="79"/>
      <c r="K53" s="70"/>
      <c r="L53" s="79"/>
      <c r="M53" s="70"/>
      <c r="N53" s="79"/>
      <c r="O53" s="70">
        <f t="shared" si="13"/>
        <v>0.41666666666666669</v>
      </c>
      <c r="P53" s="79"/>
      <c r="Q53" s="70">
        <f t="shared" si="14"/>
        <v>0.83333333333333337</v>
      </c>
      <c r="R53" s="79"/>
      <c r="S53" s="70">
        <f t="shared" si="15"/>
        <v>1.25</v>
      </c>
      <c r="T53" s="79"/>
      <c r="U53" s="70">
        <f t="shared" si="16"/>
        <v>1.6666666666666667</v>
      </c>
      <c r="V53" s="79"/>
      <c r="W53" s="70">
        <f t="shared" si="17"/>
        <v>2.0833333333333335</v>
      </c>
      <c r="X53" s="79"/>
      <c r="Y53" s="70">
        <f t="shared" si="18"/>
        <v>2.5</v>
      </c>
      <c r="Z53" s="79"/>
      <c r="AA53" s="70">
        <f t="shared" si="19"/>
        <v>2.9166666666666665</v>
      </c>
      <c r="AB53" s="70"/>
      <c r="AC53" s="70">
        <f t="shared" si="20"/>
        <v>3.333333333333333</v>
      </c>
      <c r="AD53" s="69" t="s">
        <v>144</v>
      </c>
      <c r="AE53" s="71">
        <f t="shared" si="11"/>
        <v>3.333333333333333</v>
      </c>
    </row>
    <row r="54" spans="1:31" s="94" customFormat="1" x14ac:dyDescent="0.25">
      <c r="A54" s="87"/>
      <c r="B54" s="88"/>
      <c r="C54" s="89"/>
      <c r="D54" s="90"/>
      <c r="E54" s="90"/>
      <c r="F54" s="91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3"/>
      <c r="AE54" s="93"/>
    </row>
    <row r="55" spans="1:31" x14ac:dyDescent="0.25">
      <c r="A55" s="294" t="s">
        <v>161</v>
      </c>
      <c r="B55" s="295"/>
      <c r="C55" s="63"/>
      <c r="D55" s="66"/>
      <c r="E55" s="66"/>
      <c r="F55" s="74"/>
      <c r="G55" s="68"/>
      <c r="H55" s="78"/>
      <c r="I55" s="68"/>
      <c r="J55" s="78"/>
      <c r="K55" s="68"/>
      <c r="L55" s="78"/>
      <c r="M55" s="68"/>
      <c r="N55" s="78"/>
      <c r="O55" s="68"/>
      <c r="P55" s="78"/>
      <c r="Q55" s="68"/>
      <c r="R55" s="78"/>
      <c r="S55" s="68"/>
      <c r="T55" s="78"/>
      <c r="U55" s="68"/>
      <c r="V55" s="78"/>
      <c r="W55" s="68"/>
      <c r="X55" s="78"/>
      <c r="Y55" s="68"/>
      <c r="Z55" s="78"/>
      <c r="AA55" s="68"/>
      <c r="AB55" s="68"/>
      <c r="AC55" s="68"/>
      <c r="AD55" s="69"/>
      <c r="AE55" s="69"/>
    </row>
    <row r="56" spans="1:31" x14ac:dyDescent="0.25">
      <c r="A56" s="296"/>
      <c r="B56" s="297"/>
      <c r="C56" s="65" t="s">
        <v>9</v>
      </c>
      <c r="D56" s="66"/>
      <c r="E56" s="66">
        <v>15</v>
      </c>
      <c r="F56" s="75"/>
      <c r="G56" s="70"/>
      <c r="H56" s="79"/>
      <c r="I56" s="70"/>
      <c r="J56" s="79"/>
      <c r="K56" s="70"/>
      <c r="L56" s="79"/>
      <c r="M56" s="70"/>
      <c r="N56" s="79"/>
      <c r="O56" s="70"/>
      <c r="P56" s="79"/>
      <c r="Q56" s="70"/>
      <c r="R56" s="79"/>
      <c r="S56" s="68">
        <f t="shared" si="15"/>
        <v>1.25</v>
      </c>
      <c r="T56" s="79"/>
      <c r="U56" s="68">
        <f t="shared" si="16"/>
        <v>2.5</v>
      </c>
      <c r="V56" s="79"/>
      <c r="W56" s="68">
        <f t="shared" si="17"/>
        <v>3.75</v>
      </c>
      <c r="X56" s="79"/>
      <c r="Y56" s="68">
        <f t="shared" si="18"/>
        <v>5</v>
      </c>
      <c r="Z56" s="79"/>
      <c r="AA56" s="68">
        <f t="shared" si="19"/>
        <v>6.25</v>
      </c>
      <c r="AB56" s="70"/>
      <c r="AC56" s="68">
        <f t="shared" si="20"/>
        <v>7.5</v>
      </c>
      <c r="AD56" s="69" t="s">
        <v>143</v>
      </c>
      <c r="AE56" s="71">
        <f t="shared" si="11"/>
        <v>7.5</v>
      </c>
    </row>
    <row r="57" spans="1:31" x14ac:dyDescent="0.25">
      <c r="A57" s="298"/>
      <c r="B57" s="299"/>
      <c r="C57" s="63" t="s">
        <v>8</v>
      </c>
      <c r="D57" s="64"/>
      <c r="E57" s="64">
        <v>5</v>
      </c>
      <c r="F57" s="75"/>
      <c r="G57" s="70"/>
      <c r="H57" s="79"/>
      <c r="I57" s="70"/>
      <c r="J57" s="79"/>
      <c r="K57" s="70"/>
      <c r="L57" s="79"/>
      <c r="M57" s="70"/>
      <c r="N57" s="79"/>
      <c r="O57" s="70"/>
      <c r="P57" s="79"/>
      <c r="Q57" s="70"/>
      <c r="R57" s="79"/>
      <c r="S57" s="70">
        <f t="shared" si="15"/>
        <v>0.41666666666666669</v>
      </c>
      <c r="T57" s="79"/>
      <c r="U57" s="70">
        <f t="shared" si="16"/>
        <v>0.83333333333333337</v>
      </c>
      <c r="V57" s="79"/>
      <c r="W57" s="70">
        <f t="shared" si="17"/>
        <v>1.25</v>
      </c>
      <c r="X57" s="79"/>
      <c r="Y57" s="70">
        <f t="shared" si="18"/>
        <v>1.6666666666666667</v>
      </c>
      <c r="Z57" s="79"/>
      <c r="AA57" s="70">
        <f t="shared" si="19"/>
        <v>2.0833333333333335</v>
      </c>
      <c r="AB57" s="70"/>
      <c r="AC57" s="70">
        <f t="shared" si="20"/>
        <v>2.5</v>
      </c>
      <c r="AD57" s="69" t="s">
        <v>144</v>
      </c>
      <c r="AE57" s="71">
        <f t="shared" si="11"/>
        <v>2.5</v>
      </c>
    </row>
    <row r="58" spans="1:31" x14ac:dyDescent="0.25">
      <c r="A58" s="294" t="s">
        <v>162</v>
      </c>
      <c r="B58" s="295"/>
      <c r="C58" s="63"/>
      <c r="D58" s="66"/>
      <c r="E58" s="66"/>
      <c r="F58" s="74"/>
      <c r="G58" s="68"/>
      <c r="H58" s="78"/>
      <c r="I58" s="68"/>
      <c r="J58" s="78"/>
      <c r="K58" s="68"/>
      <c r="L58" s="78"/>
      <c r="M58" s="68"/>
      <c r="N58" s="78"/>
      <c r="O58" s="68"/>
      <c r="P58" s="78"/>
      <c r="Q58" s="68"/>
      <c r="R58" s="78"/>
      <c r="S58" s="68"/>
      <c r="T58" s="78"/>
      <c r="U58" s="68"/>
      <c r="V58" s="78"/>
      <c r="W58" s="68"/>
      <c r="X58" s="78"/>
      <c r="Y58" s="68"/>
      <c r="Z58" s="78"/>
      <c r="AA58" s="68"/>
      <c r="AB58" s="68"/>
      <c r="AC58" s="68"/>
      <c r="AD58" s="69"/>
      <c r="AE58" s="69"/>
    </row>
    <row r="59" spans="1:31" x14ac:dyDescent="0.25">
      <c r="A59" s="296"/>
      <c r="B59" s="297"/>
      <c r="C59" s="65" t="s">
        <v>9</v>
      </c>
      <c r="D59" s="66"/>
      <c r="E59" s="66">
        <v>15</v>
      </c>
      <c r="F59" s="75"/>
      <c r="G59" s="70"/>
      <c r="H59" s="79"/>
      <c r="I59" s="70"/>
      <c r="J59" s="79"/>
      <c r="K59" s="70"/>
      <c r="L59" s="79"/>
      <c r="M59" s="70"/>
      <c r="N59" s="79"/>
      <c r="O59" s="70"/>
      <c r="P59" s="79"/>
      <c r="Q59" s="70"/>
      <c r="R59" s="79"/>
      <c r="S59" s="68">
        <f t="shared" si="15"/>
        <v>1.25</v>
      </c>
      <c r="T59" s="79"/>
      <c r="U59" s="68">
        <f t="shared" si="16"/>
        <v>2.5</v>
      </c>
      <c r="V59" s="79"/>
      <c r="W59" s="68">
        <f t="shared" si="17"/>
        <v>3.75</v>
      </c>
      <c r="X59" s="79"/>
      <c r="Y59" s="68">
        <f t="shared" si="18"/>
        <v>5</v>
      </c>
      <c r="Z59" s="79"/>
      <c r="AA59" s="68">
        <f t="shared" si="19"/>
        <v>6.25</v>
      </c>
      <c r="AB59" s="70"/>
      <c r="AC59" s="68">
        <f t="shared" si="20"/>
        <v>7.5</v>
      </c>
      <c r="AD59" s="69" t="s">
        <v>143</v>
      </c>
      <c r="AE59" s="71">
        <f t="shared" si="11"/>
        <v>7.5</v>
      </c>
    </row>
    <row r="60" spans="1:31" x14ac:dyDescent="0.25">
      <c r="A60" s="298"/>
      <c r="B60" s="299"/>
      <c r="C60" s="63" t="s">
        <v>8</v>
      </c>
      <c r="D60" s="64"/>
      <c r="E60" s="64">
        <v>5</v>
      </c>
      <c r="F60" s="75"/>
      <c r="G60" s="70"/>
      <c r="H60" s="79"/>
      <c r="I60" s="70"/>
      <c r="J60" s="79"/>
      <c r="K60" s="70"/>
      <c r="L60" s="79"/>
      <c r="M60" s="70"/>
      <c r="N60" s="79"/>
      <c r="O60" s="70"/>
      <c r="P60" s="79"/>
      <c r="Q60" s="70"/>
      <c r="R60" s="79"/>
      <c r="S60" s="70">
        <f t="shared" si="15"/>
        <v>0.41666666666666669</v>
      </c>
      <c r="T60" s="79"/>
      <c r="U60" s="70">
        <f t="shared" si="16"/>
        <v>0.83333333333333337</v>
      </c>
      <c r="V60" s="79"/>
      <c r="W60" s="70">
        <f t="shared" si="17"/>
        <v>1.25</v>
      </c>
      <c r="X60" s="79"/>
      <c r="Y60" s="70">
        <f t="shared" si="18"/>
        <v>1.6666666666666667</v>
      </c>
      <c r="Z60" s="79"/>
      <c r="AA60" s="70">
        <f t="shared" si="19"/>
        <v>2.0833333333333335</v>
      </c>
      <c r="AB60" s="70"/>
      <c r="AC60" s="70">
        <f t="shared" si="20"/>
        <v>2.5</v>
      </c>
      <c r="AD60" s="69" t="s">
        <v>144</v>
      </c>
      <c r="AE60" s="71">
        <f t="shared" si="11"/>
        <v>2.5</v>
      </c>
    </row>
    <row r="61" spans="1:31" x14ac:dyDescent="0.25">
      <c r="A61" s="294" t="s">
        <v>163</v>
      </c>
      <c r="B61" s="295"/>
      <c r="C61" s="63"/>
      <c r="D61" s="66"/>
      <c r="E61" s="66"/>
      <c r="F61" s="74"/>
      <c r="G61" s="68"/>
      <c r="H61" s="78"/>
      <c r="I61" s="68"/>
      <c r="J61" s="78"/>
      <c r="K61" s="68"/>
      <c r="L61" s="78"/>
      <c r="M61" s="68"/>
      <c r="N61" s="78"/>
      <c r="O61" s="68"/>
      <c r="P61" s="78"/>
      <c r="Q61" s="68"/>
      <c r="R61" s="78"/>
      <c r="S61" s="68"/>
      <c r="T61" s="78"/>
      <c r="U61" s="68"/>
      <c r="V61" s="78"/>
      <c r="W61" s="68"/>
      <c r="X61" s="78"/>
      <c r="Y61" s="68"/>
      <c r="Z61" s="78"/>
      <c r="AA61" s="68"/>
      <c r="AB61" s="68"/>
      <c r="AC61" s="68"/>
      <c r="AD61" s="69"/>
      <c r="AE61" s="69"/>
    </row>
    <row r="62" spans="1:31" x14ac:dyDescent="0.25">
      <c r="A62" s="296"/>
      <c r="B62" s="297"/>
      <c r="C62" s="65" t="s">
        <v>9</v>
      </c>
      <c r="D62" s="66"/>
      <c r="E62" s="66">
        <v>15</v>
      </c>
      <c r="F62" s="75"/>
      <c r="G62" s="70"/>
      <c r="H62" s="79"/>
      <c r="I62" s="70"/>
      <c r="J62" s="79"/>
      <c r="K62" s="70"/>
      <c r="L62" s="79"/>
      <c r="M62" s="70"/>
      <c r="N62" s="79"/>
      <c r="O62" s="70"/>
      <c r="P62" s="79"/>
      <c r="Q62" s="70"/>
      <c r="R62" s="79"/>
      <c r="S62" s="68">
        <f t="shared" si="15"/>
        <v>1.25</v>
      </c>
      <c r="T62" s="79"/>
      <c r="U62" s="68">
        <f t="shared" si="16"/>
        <v>2.5</v>
      </c>
      <c r="V62" s="79"/>
      <c r="W62" s="68">
        <f t="shared" si="17"/>
        <v>3.75</v>
      </c>
      <c r="X62" s="79"/>
      <c r="Y62" s="68">
        <f t="shared" si="18"/>
        <v>5</v>
      </c>
      <c r="Z62" s="79"/>
      <c r="AA62" s="68">
        <f t="shared" si="19"/>
        <v>6.25</v>
      </c>
      <c r="AB62" s="70"/>
      <c r="AC62" s="68">
        <f t="shared" si="20"/>
        <v>7.5</v>
      </c>
      <c r="AD62" s="69" t="s">
        <v>143</v>
      </c>
      <c r="AE62" s="71">
        <f t="shared" si="11"/>
        <v>7.5</v>
      </c>
    </row>
    <row r="63" spans="1:31" x14ac:dyDescent="0.25">
      <c r="A63" s="298"/>
      <c r="B63" s="299"/>
      <c r="C63" s="63" t="s">
        <v>8</v>
      </c>
      <c r="D63" s="64"/>
      <c r="E63" s="64">
        <v>5</v>
      </c>
      <c r="F63" s="75"/>
      <c r="G63" s="70"/>
      <c r="H63" s="79"/>
      <c r="I63" s="70"/>
      <c r="J63" s="79"/>
      <c r="K63" s="70"/>
      <c r="L63" s="79"/>
      <c r="M63" s="70"/>
      <c r="N63" s="79"/>
      <c r="O63" s="70"/>
      <c r="P63" s="79"/>
      <c r="Q63" s="70"/>
      <c r="R63" s="79"/>
      <c r="S63" s="70">
        <f t="shared" si="15"/>
        <v>0.41666666666666669</v>
      </c>
      <c r="T63" s="79"/>
      <c r="U63" s="70">
        <f t="shared" si="16"/>
        <v>0.83333333333333337</v>
      </c>
      <c r="V63" s="79"/>
      <c r="W63" s="70">
        <f t="shared" si="17"/>
        <v>1.25</v>
      </c>
      <c r="X63" s="79"/>
      <c r="Y63" s="70">
        <f t="shared" si="18"/>
        <v>1.6666666666666667</v>
      </c>
      <c r="Z63" s="79"/>
      <c r="AA63" s="70">
        <f t="shared" si="19"/>
        <v>2.0833333333333335</v>
      </c>
      <c r="AB63" s="70"/>
      <c r="AC63" s="70">
        <f t="shared" si="20"/>
        <v>2.5</v>
      </c>
      <c r="AD63" s="69" t="s">
        <v>144</v>
      </c>
      <c r="AE63" s="71">
        <f t="shared" si="11"/>
        <v>2.5</v>
      </c>
    </row>
    <row r="64" spans="1:31" x14ac:dyDescent="0.25">
      <c r="A64" s="294" t="s">
        <v>164</v>
      </c>
      <c r="B64" s="295"/>
      <c r="C64" s="63"/>
      <c r="D64" s="66"/>
      <c r="E64" s="66"/>
      <c r="F64" s="74"/>
      <c r="G64" s="68"/>
      <c r="H64" s="78"/>
      <c r="I64" s="68"/>
      <c r="J64" s="78"/>
      <c r="K64" s="68"/>
      <c r="L64" s="78"/>
      <c r="M64" s="68"/>
      <c r="N64" s="78"/>
      <c r="O64" s="68"/>
      <c r="P64" s="78"/>
      <c r="Q64" s="68"/>
      <c r="R64" s="78"/>
      <c r="S64" s="68"/>
      <c r="T64" s="78"/>
      <c r="U64" s="68"/>
      <c r="V64" s="78"/>
      <c r="W64" s="68"/>
      <c r="X64" s="78"/>
      <c r="Y64" s="68"/>
      <c r="Z64" s="78"/>
      <c r="AA64" s="68"/>
      <c r="AB64" s="68"/>
      <c r="AC64" s="68"/>
      <c r="AD64" s="69"/>
      <c r="AE64" s="69"/>
    </row>
    <row r="65" spans="1:31" x14ac:dyDescent="0.25">
      <c r="A65" s="296"/>
      <c r="B65" s="297"/>
      <c r="C65" s="65" t="s">
        <v>9</v>
      </c>
      <c r="D65" s="66"/>
      <c r="E65" s="66">
        <v>15</v>
      </c>
      <c r="F65" s="75"/>
      <c r="G65" s="70"/>
      <c r="H65" s="79"/>
      <c r="I65" s="70"/>
      <c r="J65" s="79"/>
      <c r="K65" s="70"/>
      <c r="L65" s="79"/>
      <c r="M65" s="70"/>
      <c r="N65" s="79"/>
      <c r="O65" s="70"/>
      <c r="P65" s="79"/>
      <c r="Q65" s="70"/>
      <c r="R65" s="79"/>
      <c r="S65" s="68">
        <f t="shared" si="15"/>
        <v>1.25</v>
      </c>
      <c r="T65" s="79"/>
      <c r="U65" s="68">
        <f t="shared" si="16"/>
        <v>2.5</v>
      </c>
      <c r="V65" s="79"/>
      <c r="W65" s="68">
        <f t="shared" si="17"/>
        <v>3.75</v>
      </c>
      <c r="X65" s="79"/>
      <c r="Y65" s="68">
        <f t="shared" si="18"/>
        <v>5</v>
      </c>
      <c r="Z65" s="79"/>
      <c r="AA65" s="68">
        <f t="shared" si="19"/>
        <v>6.25</v>
      </c>
      <c r="AB65" s="70"/>
      <c r="AC65" s="68">
        <f t="shared" si="20"/>
        <v>7.5</v>
      </c>
      <c r="AD65" s="69" t="s">
        <v>143</v>
      </c>
      <c r="AE65" s="71">
        <f t="shared" si="11"/>
        <v>7.5</v>
      </c>
    </row>
    <row r="66" spans="1:31" x14ac:dyDescent="0.25">
      <c r="A66" s="298"/>
      <c r="B66" s="299"/>
      <c r="C66" s="63" t="s">
        <v>8</v>
      </c>
      <c r="D66" s="64"/>
      <c r="E66" s="64">
        <v>5</v>
      </c>
      <c r="F66" s="75"/>
      <c r="G66" s="70"/>
      <c r="H66" s="79"/>
      <c r="I66" s="70"/>
      <c r="J66" s="79"/>
      <c r="K66" s="70"/>
      <c r="L66" s="79"/>
      <c r="M66" s="70"/>
      <c r="N66" s="79"/>
      <c r="O66" s="70"/>
      <c r="P66" s="79"/>
      <c r="Q66" s="70"/>
      <c r="R66" s="79"/>
      <c r="S66" s="70">
        <f t="shared" si="15"/>
        <v>0.41666666666666669</v>
      </c>
      <c r="T66" s="79"/>
      <c r="U66" s="70">
        <f t="shared" si="16"/>
        <v>0.83333333333333337</v>
      </c>
      <c r="V66" s="79"/>
      <c r="W66" s="70">
        <f t="shared" si="17"/>
        <v>1.25</v>
      </c>
      <c r="X66" s="79"/>
      <c r="Y66" s="70">
        <f t="shared" si="18"/>
        <v>1.6666666666666667</v>
      </c>
      <c r="Z66" s="79"/>
      <c r="AA66" s="70">
        <f t="shared" si="19"/>
        <v>2.0833333333333335</v>
      </c>
      <c r="AB66" s="70"/>
      <c r="AC66" s="70">
        <f t="shared" si="20"/>
        <v>2.5</v>
      </c>
      <c r="AD66" s="69" t="s">
        <v>144</v>
      </c>
      <c r="AE66" s="71">
        <f t="shared" si="11"/>
        <v>2.5</v>
      </c>
    </row>
    <row r="67" spans="1:31" x14ac:dyDescent="0.25">
      <c r="A67" s="294" t="s">
        <v>165</v>
      </c>
      <c r="B67" s="295"/>
      <c r="C67" s="63"/>
      <c r="D67" s="66"/>
      <c r="E67" s="66"/>
      <c r="F67" s="74"/>
      <c r="G67" s="68"/>
      <c r="H67" s="78"/>
      <c r="I67" s="68"/>
      <c r="J67" s="78"/>
      <c r="K67" s="68"/>
      <c r="L67" s="78"/>
      <c r="M67" s="68"/>
      <c r="N67" s="78"/>
      <c r="O67" s="68"/>
      <c r="P67" s="78"/>
      <c r="Q67" s="68"/>
      <c r="R67" s="78"/>
      <c r="S67" s="68"/>
      <c r="T67" s="78"/>
      <c r="U67" s="68"/>
      <c r="V67" s="78"/>
      <c r="W67" s="68"/>
      <c r="X67" s="78"/>
      <c r="Y67" s="68"/>
      <c r="Z67" s="78"/>
      <c r="AA67" s="68"/>
      <c r="AB67" s="68"/>
      <c r="AC67" s="68"/>
      <c r="AD67" s="69"/>
      <c r="AE67" s="69"/>
    </row>
    <row r="68" spans="1:31" x14ac:dyDescent="0.25">
      <c r="A68" s="296"/>
      <c r="B68" s="297"/>
      <c r="C68" s="65" t="s">
        <v>9</v>
      </c>
      <c r="D68" s="66"/>
      <c r="E68" s="66">
        <v>15</v>
      </c>
      <c r="F68" s="75"/>
      <c r="G68" s="70"/>
      <c r="H68" s="79"/>
      <c r="I68" s="70"/>
      <c r="J68" s="79"/>
      <c r="K68" s="70"/>
      <c r="L68" s="79"/>
      <c r="M68" s="70"/>
      <c r="N68" s="79"/>
      <c r="O68" s="70"/>
      <c r="P68" s="79"/>
      <c r="Q68" s="70"/>
      <c r="R68" s="79"/>
      <c r="S68" s="70"/>
      <c r="T68" s="79"/>
      <c r="U68" s="68">
        <f t="shared" ref="U68:U75" si="21">$E68/12+S68-T68</f>
        <v>1.25</v>
      </c>
      <c r="V68" s="79"/>
      <c r="W68" s="68">
        <f t="shared" ref="W68:W84" si="22">$E68/12+U68-V68</f>
        <v>2.5</v>
      </c>
      <c r="X68" s="79"/>
      <c r="Y68" s="68">
        <f t="shared" ref="Y68:Y84" si="23">$E68/12+W68-X68</f>
        <v>3.75</v>
      </c>
      <c r="Z68" s="79"/>
      <c r="AA68" s="68">
        <f t="shared" ref="AA68:AA87" si="24">$E68/12+Y68-Z68</f>
        <v>5</v>
      </c>
      <c r="AB68" s="70"/>
      <c r="AC68" s="68">
        <f t="shared" ref="AC68:AC87" si="25">$E68/12+AA68-AB68</f>
        <v>6.25</v>
      </c>
      <c r="AD68" s="69" t="s">
        <v>143</v>
      </c>
      <c r="AE68" s="71">
        <f t="shared" si="11"/>
        <v>6.25</v>
      </c>
    </row>
    <row r="69" spans="1:31" x14ac:dyDescent="0.25">
      <c r="A69" s="298"/>
      <c r="B69" s="299"/>
      <c r="C69" s="63" t="s">
        <v>8</v>
      </c>
      <c r="D69" s="64"/>
      <c r="E69" s="64">
        <v>5</v>
      </c>
      <c r="F69" s="75"/>
      <c r="G69" s="70"/>
      <c r="H69" s="79"/>
      <c r="I69" s="70"/>
      <c r="J69" s="79"/>
      <c r="K69" s="70"/>
      <c r="L69" s="79"/>
      <c r="M69" s="70"/>
      <c r="N69" s="79"/>
      <c r="O69" s="70"/>
      <c r="P69" s="79"/>
      <c r="Q69" s="70"/>
      <c r="R69" s="79"/>
      <c r="S69" s="70"/>
      <c r="T69" s="79"/>
      <c r="U69" s="70">
        <f t="shared" si="21"/>
        <v>0.41666666666666669</v>
      </c>
      <c r="V69" s="79"/>
      <c r="W69" s="70">
        <f t="shared" si="22"/>
        <v>0.83333333333333337</v>
      </c>
      <c r="X69" s="79"/>
      <c r="Y69" s="70">
        <f t="shared" si="23"/>
        <v>1.25</v>
      </c>
      <c r="Z69" s="79"/>
      <c r="AA69" s="70">
        <f t="shared" si="24"/>
        <v>1.6666666666666667</v>
      </c>
      <c r="AB69" s="70"/>
      <c r="AC69" s="70">
        <f t="shared" si="25"/>
        <v>2.0833333333333335</v>
      </c>
      <c r="AD69" s="69" t="s">
        <v>144</v>
      </c>
      <c r="AE69" s="71">
        <f t="shared" si="11"/>
        <v>2.0833333333333335</v>
      </c>
    </row>
    <row r="70" spans="1:31" x14ac:dyDescent="0.25">
      <c r="A70" s="294" t="s">
        <v>166</v>
      </c>
      <c r="B70" s="295"/>
      <c r="C70" s="63"/>
      <c r="D70" s="66"/>
      <c r="E70" s="66"/>
      <c r="F70" s="74"/>
      <c r="G70" s="68"/>
      <c r="H70" s="78"/>
      <c r="I70" s="68"/>
      <c r="J70" s="78"/>
      <c r="K70" s="68"/>
      <c r="L70" s="78"/>
      <c r="M70" s="68"/>
      <c r="N70" s="78"/>
      <c r="O70" s="68"/>
      <c r="P70" s="78"/>
      <c r="Q70" s="68"/>
      <c r="R70" s="78"/>
      <c r="S70" s="68"/>
      <c r="T70" s="78"/>
      <c r="U70" s="68"/>
      <c r="V70" s="78"/>
      <c r="W70" s="68"/>
      <c r="X70" s="78"/>
      <c r="Y70" s="68"/>
      <c r="Z70" s="78"/>
      <c r="AA70" s="68"/>
      <c r="AB70" s="68"/>
      <c r="AC70" s="68"/>
      <c r="AD70" s="69"/>
      <c r="AE70" s="69"/>
    </row>
    <row r="71" spans="1:31" x14ac:dyDescent="0.25">
      <c r="A71" s="296"/>
      <c r="B71" s="297"/>
      <c r="C71" s="65" t="s">
        <v>9</v>
      </c>
      <c r="D71" s="66"/>
      <c r="E71" s="66">
        <v>15</v>
      </c>
      <c r="F71" s="75"/>
      <c r="G71" s="70"/>
      <c r="H71" s="79"/>
      <c r="I71" s="70"/>
      <c r="J71" s="79"/>
      <c r="K71" s="70"/>
      <c r="L71" s="79"/>
      <c r="M71" s="70"/>
      <c r="N71" s="79"/>
      <c r="O71" s="70"/>
      <c r="P71" s="79"/>
      <c r="Q71" s="70"/>
      <c r="R71" s="79"/>
      <c r="S71" s="70"/>
      <c r="T71" s="79"/>
      <c r="U71" s="68">
        <f t="shared" si="21"/>
        <v>1.25</v>
      </c>
      <c r="V71" s="79"/>
      <c r="W71" s="68">
        <f t="shared" si="22"/>
        <v>2.5</v>
      </c>
      <c r="X71" s="79"/>
      <c r="Y71" s="68">
        <f t="shared" si="23"/>
        <v>3.75</v>
      </c>
      <c r="Z71" s="79"/>
      <c r="AA71" s="68">
        <f t="shared" si="24"/>
        <v>5</v>
      </c>
      <c r="AB71" s="70"/>
      <c r="AC71" s="68">
        <f t="shared" si="25"/>
        <v>6.25</v>
      </c>
      <c r="AD71" s="69" t="s">
        <v>143</v>
      </c>
      <c r="AE71" s="71">
        <f t="shared" si="11"/>
        <v>6.25</v>
      </c>
    </row>
    <row r="72" spans="1:31" x14ac:dyDescent="0.25">
      <c r="A72" s="298"/>
      <c r="B72" s="299"/>
      <c r="C72" s="63" t="s">
        <v>8</v>
      </c>
      <c r="D72" s="64"/>
      <c r="E72" s="64">
        <v>5</v>
      </c>
      <c r="F72" s="75"/>
      <c r="G72" s="70"/>
      <c r="H72" s="79"/>
      <c r="I72" s="70"/>
      <c r="J72" s="79"/>
      <c r="K72" s="70"/>
      <c r="L72" s="79"/>
      <c r="M72" s="70"/>
      <c r="N72" s="79"/>
      <c r="O72" s="70"/>
      <c r="P72" s="79"/>
      <c r="Q72" s="70"/>
      <c r="R72" s="79"/>
      <c r="S72" s="70"/>
      <c r="T72" s="79"/>
      <c r="U72" s="70">
        <f t="shared" si="21"/>
        <v>0.41666666666666669</v>
      </c>
      <c r="V72" s="79"/>
      <c r="W72" s="70">
        <f t="shared" si="22"/>
        <v>0.83333333333333337</v>
      </c>
      <c r="X72" s="79"/>
      <c r="Y72" s="70">
        <f t="shared" si="23"/>
        <v>1.25</v>
      </c>
      <c r="Z72" s="79"/>
      <c r="AA72" s="70">
        <f t="shared" si="24"/>
        <v>1.6666666666666667</v>
      </c>
      <c r="AB72" s="70"/>
      <c r="AC72" s="70">
        <f t="shared" si="25"/>
        <v>2.0833333333333335</v>
      </c>
      <c r="AD72" s="69" t="s">
        <v>144</v>
      </c>
      <c r="AE72" s="71">
        <f t="shared" si="11"/>
        <v>2.0833333333333335</v>
      </c>
    </row>
    <row r="73" spans="1:31" x14ac:dyDescent="0.25">
      <c r="A73" s="294" t="s">
        <v>167</v>
      </c>
      <c r="B73" s="295"/>
      <c r="C73" s="63"/>
      <c r="D73" s="66"/>
      <c r="E73" s="66"/>
      <c r="F73" s="74"/>
      <c r="G73" s="68"/>
      <c r="H73" s="78"/>
      <c r="I73" s="68"/>
      <c r="J73" s="78"/>
      <c r="K73" s="68"/>
      <c r="L73" s="78"/>
      <c r="M73" s="68"/>
      <c r="N73" s="78"/>
      <c r="O73" s="68"/>
      <c r="P73" s="78"/>
      <c r="Q73" s="68"/>
      <c r="R73" s="78"/>
      <c r="S73" s="68"/>
      <c r="T73" s="78"/>
      <c r="U73" s="68"/>
      <c r="V73" s="78"/>
      <c r="W73" s="68"/>
      <c r="X73" s="78"/>
      <c r="Y73" s="68"/>
      <c r="Z73" s="78"/>
      <c r="AA73" s="68"/>
      <c r="AB73" s="68"/>
      <c r="AC73" s="68"/>
      <c r="AD73" s="69"/>
      <c r="AE73" s="69"/>
    </row>
    <row r="74" spans="1:31" x14ac:dyDescent="0.25">
      <c r="A74" s="296"/>
      <c r="B74" s="297"/>
      <c r="C74" s="65" t="s">
        <v>9</v>
      </c>
      <c r="D74" s="66"/>
      <c r="E74" s="66">
        <v>15</v>
      </c>
      <c r="F74" s="75"/>
      <c r="G74" s="70"/>
      <c r="H74" s="79"/>
      <c r="I74" s="70"/>
      <c r="J74" s="79"/>
      <c r="K74" s="70"/>
      <c r="L74" s="79"/>
      <c r="M74" s="70"/>
      <c r="N74" s="79"/>
      <c r="O74" s="70"/>
      <c r="P74" s="79"/>
      <c r="Q74" s="70"/>
      <c r="R74" s="79"/>
      <c r="S74" s="70"/>
      <c r="T74" s="79"/>
      <c r="U74" s="68">
        <f t="shared" si="21"/>
        <v>1.25</v>
      </c>
      <c r="V74" s="79"/>
      <c r="W74" s="68">
        <f t="shared" si="22"/>
        <v>2.5</v>
      </c>
      <c r="X74" s="79"/>
      <c r="Y74" s="68">
        <f t="shared" si="23"/>
        <v>3.75</v>
      </c>
      <c r="Z74" s="79"/>
      <c r="AA74" s="68">
        <f t="shared" si="24"/>
        <v>5</v>
      </c>
      <c r="AB74" s="70"/>
      <c r="AC74" s="68">
        <f t="shared" si="25"/>
        <v>6.25</v>
      </c>
      <c r="AD74" s="69" t="s">
        <v>143</v>
      </c>
      <c r="AE74" s="71">
        <f t="shared" si="11"/>
        <v>6.25</v>
      </c>
    </row>
    <row r="75" spans="1:31" x14ac:dyDescent="0.25">
      <c r="A75" s="298"/>
      <c r="B75" s="299"/>
      <c r="C75" s="63" t="s">
        <v>8</v>
      </c>
      <c r="D75" s="64"/>
      <c r="E75" s="64">
        <v>5</v>
      </c>
      <c r="F75" s="75"/>
      <c r="G75" s="70"/>
      <c r="H75" s="79"/>
      <c r="I75" s="70"/>
      <c r="J75" s="79"/>
      <c r="K75" s="70"/>
      <c r="L75" s="79"/>
      <c r="M75" s="70"/>
      <c r="N75" s="79"/>
      <c r="O75" s="70"/>
      <c r="P75" s="79"/>
      <c r="Q75" s="70"/>
      <c r="R75" s="79"/>
      <c r="S75" s="70"/>
      <c r="T75" s="79"/>
      <c r="U75" s="70">
        <f t="shared" si="21"/>
        <v>0.41666666666666669</v>
      </c>
      <c r="V75" s="79"/>
      <c r="W75" s="70">
        <f t="shared" si="22"/>
        <v>0.83333333333333337</v>
      </c>
      <c r="X75" s="79"/>
      <c r="Y75" s="70">
        <f t="shared" si="23"/>
        <v>1.25</v>
      </c>
      <c r="Z75" s="79"/>
      <c r="AA75" s="70">
        <f t="shared" si="24"/>
        <v>1.6666666666666667</v>
      </c>
      <c r="AB75" s="70"/>
      <c r="AC75" s="70">
        <f t="shared" si="25"/>
        <v>2.0833333333333335</v>
      </c>
      <c r="AD75" s="69" t="s">
        <v>144</v>
      </c>
      <c r="AE75" s="71">
        <f t="shared" si="11"/>
        <v>2.0833333333333335</v>
      </c>
    </row>
    <row r="76" spans="1:31" x14ac:dyDescent="0.25">
      <c r="A76" s="294" t="s">
        <v>168</v>
      </c>
      <c r="B76" s="295"/>
      <c r="C76" s="63"/>
      <c r="D76" s="66"/>
      <c r="E76" s="66"/>
      <c r="F76" s="74"/>
      <c r="G76" s="68"/>
      <c r="H76" s="78"/>
      <c r="I76" s="68"/>
      <c r="J76" s="78"/>
      <c r="K76" s="68"/>
      <c r="L76" s="78"/>
      <c r="M76" s="68"/>
      <c r="N76" s="78"/>
      <c r="O76" s="68"/>
      <c r="P76" s="78"/>
      <c r="Q76" s="68"/>
      <c r="R76" s="78"/>
      <c r="S76" s="68"/>
      <c r="T76" s="78"/>
      <c r="U76" s="68"/>
      <c r="V76" s="78"/>
      <c r="W76" s="68"/>
      <c r="X76" s="78"/>
      <c r="Y76" s="68"/>
      <c r="Z76" s="78"/>
      <c r="AA76" s="68"/>
      <c r="AB76" s="68"/>
      <c r="AC76" s="68"/>
      <c r="AD76" s="69"/>
      <c r="AE76" s="69"/>
    </row>
    <row r="77" spans="1:31" x14ac:dyDescent="0.25">
      <c r="A77" s="296"/>
      <c r="B77" s="297"/>
      <c r="C77" s="65" t="s">
        <v>9</v>
      </c>
      <c r="D77" s="66"/>
      <c r="E77" s="66">
        <v>15</v>
      </c>
      <c r="F77" s="75"/>
      <c r="G77" s="70"/>
      <c r="H77" s="79"/>
      <c r="I77" s="70"/>
      <c r="J77" s="79"/>
      <c r="K77" s="70"/>
      <c r="L77" s="79"/>
      <c r="M77" s="70"/>
      <c r="N77" s="79"/>
      <c r="O77" s="70"/>
      <c r="P77" s="79"/>
      <c r="Q77" s="70"/>
      <c r="R77" s="79"/>
      <c r="S77" s="70"/>
      <c r="T77" s="79"/>
      <c r="U77" s="70"/>
      <c r="V77" s="79"/>
      <c r="W77" s="68">
        <f t="shared" si="22"/>
        <v>1.25</v>
      </c>
      <c r="X77" s="79"/>
      <c r="Y77" s="68">
        <f t="shared" si="23"/>
        <v>2.5</v>
      </c>
      <c r="Z77" s="79"/>
      <c r="AA77" s="68">
        <f t="shared" si="24"/>
        <v>3.75</v>
      </c>
      <c r="AB77" s="70"/>
      <c r="AC77" s="68">
        <f t="shared" si="25"/>
        <v>5</v>
      </c>
      <c r="AD77" s="69" t="s">
        <v>143</v>
      </c>
      <c r="AE77" s="71">
        <f t="shared" si="11"/>
        <v>5</v>
      </c>
    </row>
    <row r="78" spans="1:31" x14ac:dyDescent="0.25">
      <c r="A78" s="298"/>
      <c r="B78" s="299"/>
      <c r="C78" s="63" t="s">
        <v>8</v>
      </c>
      <c r="D78" s="64"/>
      <c r="E78" s="64">
        <v>5</v>
      </c>
      <c r="F78" s="75"/>
      <c r="G78" s="70"/>
      <c r="H78" s="79"/>
      <c r="I78" s="70"/>
      <c r="J78" s="79"/>
      <c r="K78" s="70"/>
      <c r="L78" s="79"/>
      <c r="M78" s="70"/>
      <c r="N78" s="79"/>
      <c r="O78" s="70"/>
      <c r="P78" s="79"/>
      <c r="Q78" s="70"/>
      <c r="R78" s="79"/>
      <c r="S78" s="70"/>
      <c r="T78" s="79"/>
      <c r="U78" s="70"/>
      <c r="V78" s="79"/>
      <c r="W78" s="70">
        <f t="shared" si="22"/>
        <v>0.41666666666666669</v>
      </c>
      <c r="X78" s="79"/>
      <c r="Y78" s="70">
        <f t="shared" si="23"/>
        <v>0.83333333333333337</v>
      </c>
      <c r="Z78" s="79"/>
      <c r="AA78" s="70">
        <f t="shared" si="24"/>
        <v>1.25</v>
      </c>
      <c r="AB78" s="70"/>
      <c r="AC78" s="70">
        <f t="shared" si="25"/>
        <v>1.6666666666666667</v>
      </c>
      <c r="AD78" s="69" t="s">
        <v>144</v>
      </c>
      <c r="AE78" s="71">
        <f t="shared" si="11"/>
        <v>1.6666666666666667</v>
      </c>
    </row>
    <row r="79" spans="1:31" x14ac:dyDescent="0.25">
      <c r="A79" s="294" t="s">
        <v>169</v>
      </c>
      <c r="B79" s="295"/>
      <c r="C79" s="63"/>
      <c r="D79" s="66"/>
      <c r="E79" s="66"/>
      <c r="F79" s="74"/>
      <c r="G79" s="68"/>
      <c r="H79" s="78"/>
      <c r="I79" s="68"/>
      <c r="J79" s="78"/>
      <c r="K79" s="68"/>
      <c r="L79" s="78"/>
      <c r="M79" s="68"/>
      <c r="N79" s="78"/>
      <c r="O79" s="68"/>
      <c r="P79" s="78"/>
      <c r="Q79" s="68"/>
      <c r="R79" s="78"/>
      <c r="S79" s="68"/>
      <c r="T79" s="78"/>
      <c r="U79" s="68"/>
      <c r="V79" s="78"/>
      <c r="W79" s="68"/>
      <c r="X79" s="78"/>
      <c r="Y79" s="68"/>
      <c r="Z79" s="78"/>
      <c r="AA79" s="68"/>
      <c r="AB79" s="68"/>
      <c r="AC79" s="68"/>
      <c r="AD79" s="69"/>
      <c r="AE79" s="69"/>
    </row>
    <row r="80" spans="1:31" x14ac:dyDescent="0.25">
      <c r="A80" s="296"/>
      <c r="B80" s="297"/>
      <c r="C80" s="65" t="s">
        <v>9</v>
      </c>
      <c r="D80" s="66"/>
      <c r="E80" s="66">
        <v>15</v>
      </c>
      <c r="F80" s="75"/>
      <c r="G80" s="70"/>
      <c r="H80" s="79"/>
      <c r="I80" s="70"/>
      <c r="J80" s="79"/>
      <c r="K80" s="70"/>
      <c r="L80" s="79"/>
      <c r="M80" s="70"/>
      <c r="N80" s="79"/>
      <c r="O80" s="70"/>
      <c r="P80" s="79"/>
      <c r="Q80" s="70"/>
      <c r="R80" s="79"/>
      <c r="S80" s="70"/>
      <c r="T80" s="79"/>
      <c r="U80" s="70"/>
      <c r="V80" s="79"/>
      <c r="W80" s="68">
        <f t="shared" si="22"/>
        <v>1.25</v>
      </c>
      <c r="X80" s="79"/>
      <c r="Y80" s="68">
        <f t="shared" si="23"/>
        <v>2.5</v>
      </c>
      <c r="Z80" s="79"/>
      <c r="AA80" s="68">
        <f t="shared" si="24"/>
        <v>3.75</v>
      </c>
      <c r="AB80" s="70"/>
      <c r="AC80" s="68">
        <f t="shared" si="25"/>
        <v>5</v>
      </c>
      <c r="AD80" s="69" t="s">
        <v>143</v>
      </c>
      <c r="AE80" s="71">
        <f t="shared" si="11"/>
        <v>5</v>
      </c>
    </row>
    <row r="81" spans="1:31" x14ac:dyDescent="0.25">
      <c r="A81" s="298"/>
      <c r="B81" s="299"/>
      <c r="C81" s="63" t="s">
        <v>8</v>
      </c>
      <c r="D81" s="64"/>
      <c r="E81" s="64">
        <v>5</v>
      </c>
      <c r="F81" s="75"/>
      <c r="G81" s="70"/>
      <c r="H81" s="79"/>
      <c r="I81" s="70"/>
      <c r="J81" s="79"/>
      <c r="K81" s="70"/>
      <c r="L81" s="79"/>
      <c r="M81" s="70"/>
      <c r="N81" s="79"/>
      <c r="O81" s="70"/>
      <c r="P81" s="79"/>
      <c r="Q81" s="70"/>
      <c r="R81" s="79"/>
      <c r="S81" s="70"/>
      <c r="T81" s="79"/>
      <c r="U81" s="70"/>
      <c r="V81" s="79"/>
      <c r="W81" s="70">
        <f t="shared" si="22"/>
        <v>0.41666666666666669</v>
      </c>
      <c r="X81" s="79"/>
      <c r="Y81" s="70">
        <f t="shared" si="23"/>
        <v>0.83333333333333337</v>
      </c>
      <c r="Z81" s="79"/>
      <c r="AA81" s="70">
        <f t="shared" si="24"/>
        <v>1.25</v>
      </c>
      <c r="AB81" s="70"/>
      <c r="AC81" s="70">
        <f t="shared" si="25"/>
        <v>1.6666666666666667</v>
      </c>
      <c r="AD81" s="69" t="s">
        <v>144</v>
      </c>
      <c r="AE81" s="71">
        <f t="shared" si="11"/>
        <v>1.6666666666666667</v>
      </c>
    </row>
    <row r="82" spans="1:31" x14ac:dyDescent="0.25">
      <c r="A82" s="294" t="s">
        <v>170</v>
      </c>
      <c r="B82" s="295"/>
      <c r="C82" s="63"/>
      <c r="D82" s="66"/>
      <c r="E82" s="66"/>
      <c r="F82" s="74"/>
      <c r="G82" s="68"/>
      <c r="H82" s="78"/>
      <c r="I82" s="68"/>
      <c r="J82" s="78"/>
      <c r="K82" s="68"/>
      <c r="L82" s="78"/>
      <c r="M82" s="68"/>
      <c r="N82" s="78"/>
      <c r="O82" s="68"/>
      <c r="P82" s="78"/>
      <c r="Q82" s="68"/>
      <c r="R82" s="78"/>
      <c r="S82" s="68"/>
      <c r="T82" s="78"/>
      <c r="U82" s="68"/>
      <c r="V82" s="78"/>
      <c r="W82" s="68"/>
      <c r="X82" s="78"/>
      <c r="Y82" s="68"/>
      <c r="Z82" s="78"/>
      <c r="AA82" s="68"/>
      <c r="AB82" s="68"/>
      <c r="AC82" s="68"/>
      <c r="AD82" s="69"/>
      <c r="AE82" s="69"/>
    </row>
    <row r="83" spans="1:31" x14ac:dyDescent="0.25">
      <c r="A83" s="296"/>
      <c r="B83" s="297"/>
      <c r="C83" s="65" t="s">
        <v>9</v>
      </c>
      <c r="D83" s="66"/>
      <c r="E83" s="66">
        <v>15</v>
      </c>
      <c r="F83" s="75"/>
      <c r="G83" s="70"/>
      <c r="H83" s="79"/>
      <c r="I83" s="70"/>
      <c r="J83" s="79"/>
      <c r="K83" s="70"/>
      <c r="L83" s="79"/>
      <c r="M83" s="70"/>
      <c r="N83" s="79"/>
      <c r="O83" s="70"/>
      <c r="P83" s="79"/>
      <c r="Q83" s="70"/>
      <c r="R83" s="79"/>
      <c r="S83" s="70"/>
      <c r="T83" s="79"/>
      <c r="U83" s="70"/>
      <c r="V83" s="79"/>
      <c r="W83" s="68">
        <f t="shared" si="22"/>
        <v>1.25</v>
      </c>
      <c r="X83" s="79"/>
      <c r="Y83" s="68">
        <f t="shared" si="23"/>
        <v>2.5</v>
      </c>
      <c r="Z83" s="79"/>
      <c r="AA83" s="68">
        <f t="shared" si="24"/>
        <v>3.75</v>
      </c>
      <c r="AB83" s="70"/>
      <c r="AC83" s="68">
        <f t="shared" si="25"/>
        <v>5</v>
      </c>
      <c r="AD83" s="69" t="s">
        <v>143</v>
      </c>
      <c r="AE83" s="71">
        <f t="shared" si="11"/>
        <v>5</v>
      </c>
    </row>
    <row r="84" spans="1:31" x14ac:dyDescent="0.25">
      <c r="A84" s="298"/>
      <c r="B84" s="299"/>
      <c r="C84" s="63" t="s">
        <v>8</v>
      </c>
      <c r="D84" s="64"/>
      <c r="E84" s="64">
        <v>5</v>
      </c>
      <c r="F84" s="75"/>
      <c r="G84" s="70"/>
      <c r="H84" s="79"/>
      <c r="I84" s="70"/>
      <c r="J84" s="79"/>
      <c r="K84" s="70"/>
      <c r="L84" s="79"/>
      <c r="M84" s="70"/>
      <c r="N84" s="79"/>
      <c r="O84" s="70"/>
      <c r="P84" s="79"/>
      <c r="Q84" s="70"/>
      <c r="R84" s="79"/>
      <c r="S84" s="70"/>
      <c r="T84" s="79"/>
      <c r="U84" s="70"/>
      <c r="V84" s="79"/>
      <c r="W84" s="70">
        <f t="shared" si="22"/>
        <v>0.41666666666666669</v>
      </c>
      <c r="X84" s="79"/>
      <c r="Y84" s="70">
        <f t="shared" si="23"/>
        <v>0.83333333333333337</v>
      </c>
      <c r="Z84" s="79"/>
      <c r="AA84" s="70">
        <f t="shared" si="24"/>
        <v>1.25</v>
      </c>
      <c r="AB84" s="70"/>
      <c r="AC84" s="70">
        <f t="shared" si="25"/>
        <v>1.6666666666666667</v>
      </c>
      <c r="AD84" s="69" t="s">
        <v>144</v>
      </c>
      <c r="AE84" s="71">
        <f t="shared" si="11"/>
        <v>1.6666666666666667</v>
      </c>
    </row>
    <row r="85" spans="1:31" x14ac:dyDescent="0.25">
      <c r="A85" s="317" t="s">
        <v>171</v>
      </c>
      <c r="B85" s="318"/>
      <c r="C85" s="63"/>
      <c r="D85" s="66"/>
      <c r="E85" s="66"/>
      <c r="F85" s="74"/>
      <c r="G85" s="68"/>
      <c r="H85" s="78"/>
      <c r="I85" s="68"/>
      <c r="J85" s="78"/>
      <c r="K85" s="68"/>
      <c r="L85" s="78"/>
      <c r="M85" s="68"/>
      <c r="N85" s="78"/>
      <c r="O85" s="68"/>
      <c r="P85" s="78"/>
      <c r="Q85" s="68"/>
      <c r="R85" s="78"/>
      <c r="S85" s="68"/>
      <c r="T85" s="78"/>
      <c r="U85" s="68"/>
      <c r="V85" s="78"/>
      <c r="W85" s="68"/>
      <c r="X85" s="78"/>
      <c r="Y85" s="68"/>
      <c r="Z85" s="78"/>
      <c r="AA85" s="68"/>
      <c r="AB85" s="68"/>
      <c r="AC85" s="68"/>
      <c r="AD85" s="69"/>
      <c r="AE85" s="69"/>
    </row>
    <row r="86" spans="1:31" x14ac:dyDescent="0.25">
      <c r="A86" s="319"/>
      <c r="B86" s="320"/>
      <c r="C86" s="65" t="s">
        <v>9</v>
      </c>
      <c r="D86" s="66"/>
      <c r="E86" s="66">
        <v>15</v>
      </c>
      <c r="F86" s="75"/>
      <c r="G86" s="70"/>
      <c r="H86" s="79"/>
      <c r="I86" s="70"/>
      <c r="J86" s="79"/>
      <c r="K86" s="70"/>
      <c r="L86" s="79"/>
      <c r="M86" s="70"/>
      <c r="N86" s="79"/>
      <c r="O86" s="70"/>
      <c r="P86" s="79"/>
      <c r="Q86" s="70"/>
      <c r="R86" s="79"/>
      <c r="S86" s="70"/>
      <c r="T86" s="79"/>
      <c r="U86" s="70"/>
      <c r="V86" s="79"/>
      <c r="W86" s="70"/>
      <c r="X86" s="79"/>
      <c r="Y86" s="70"/>
      <c r="Z86" s="79"/>
      <c r="AA86" s="68">
        <f t="shared" si="24"/>
        <v>1.25</v>
      </c>
      <c r="AB86" s="70"/>
      <c r="AC86" s="68">
        <f t="shared" si="25"/>
        <v>2.5</v>
      </c>
      <c r="AD86" s="69" t="s">
        <v>143</v>
      </c>
      <c r="AE86" s="71">
        <f t="shared" si="11"/>
        <v>2.5</v>
      </c>
    </row>
    <row r="87" spans="1:31" x14ac:dyDescent="0.25">
      <c r="A87" s="321"/>
      <c r="B87" s="322"/>
      <c r="C87" s="63" t="s">
        <v>8</v>
      </c>
      <c r="D87" s="64"/>
      <c r="E87" s="64">
        <v>5</v>
      </c>
      <c r="F87" s="75"/>
      <c r="G87" s="70"/>
      <c r="H87" s="79"/>
      <c r="I87" s="70"/>
      <c r="J87" s="79"/>
      <c r="K87" s="70"/>
      <c r="L87" s="79"/>
      <c r="M87" s="70"/>
      <c r="N87" s="79"/>
      <c r="O87" s="70"/>
      <c r="P87" s="79"/>
      <c r="Q87" s="70"/>
      <c r="R87" s="79"/>
      <c r="S87" s="70"/>
      <c r="T87" s="79"/>
      <c r="U87" s="70"/>
      <c r="V87" s="79"/>
      <c r="W87" s="70"/>
      <c r="X87" s="79"/>
      <c r="Y87" s="70"/>
      <c r="Z87" s="79"/>
      <c r="AA87" s="70">
        <f t="shared" si="24"/>
        <v>0.41666666666666669</v>
      </c>
      <c r="AB87" s="70"/>
      <c r="AC87" s="70">
        <f t="shared" si="25"/>
        <v>0.83333333333333337</v>
      </c>
      <c r="AD87" s="69" t="s">
        <v>144</v>
      </c>
      <c r="AE87" s="71">
        <f t="shared" si="11"/>
        <v>0.83333333333333337</v>
      </c>
    </row>
    <row r="88" spans="1:31" s="67" customFormat="1" x14ac:dyDescent="0.25">
      <c r="D88" s="83"/>
      <c r="E88" s="83"/>
      <c r="G88" s="84">
        <f>SUM(G3:G87)</f>
        <v>67.179999999999993</v>
      </c>
      <c r="I88" s="84">
        <f>SUM(I3:I87)</f>
        <v>83.846666666666678</v>
      </c>
      <c r="K88" s="84">
        <f>SUM(K3:K87)</f>
        <v>92.01333333333335</v>
      </c>
      <c r="M88" s="84">
        <f>SUM(M3:M87)</f>
        <v>107.84666666666666</v>
      </c>
      <c r="O88" s="84">
        <f>SUM(O3:O87)</f>
        <v>125.68</v>
      </c>
      <c r="Q88" s="84">
        <f>SUM(Q3:Q87)</f>
        <v>148.51333333333338</v>
      </c>
      <c r="S88" s="84">
        <f>SUM(S3:S87)</f>
        <v>179.51333333333324</v>
      </c>
      <c r="U88" s="84">
        <f>SUM(U3:U87)</f>
        <v>212.51333333333335</v>
      </c>
      <c r="W88" s="84">
        <f>SUM(W3:W87)</f>
        <v>245.01333333333338</v>
      </c>
      <c r="Y88" s="84">
        <f>SUM(Y3:Y87)</f>
        <v>281.01333333333321</v>
      </c>
      <c r="AA88" s="84">
        <f>SUM(AA3:AA87)</f>
        <v>313.68</v>
      </c>
      <c r="AC88" s="84">
        <f>SUM(AC3:AC87)</f>
        <v>276.34666666666681</v>
      </c>
      <c r="AE88" s="84">
        <f>SUM(AE3:AE87)</f>
        <v>276.34666666666681</v>
      </c>
    </row>
    <row r="89" spans="1:31" x14ac:dyDescent="0.25">
      <c r="F89" s="61"/>
      <c r="H89" s="61"/>
      <c r="J89" s="61"/>
      <c r="L89" s="61"/>
      <c r="N89" s="61"/>
      <c r="P89" s="61"/>
      <c r="R89" s="61"/>
      <c r="T89" s="61"/>
      <c r="V89" s="61"/>
      <c r="X89" s="61"/>
      <c r="Z89" s="61"/>
    </row>
    <row r="90" spans="1:31" x14ac:dyDescent="0.25">
      <c r="F90" s="61"/>
      <c r="G90" s="82"/>
      <c r="H90" s="61"/>
      <c r="I90" s="82"/>
      <c r="J90" s="61"/>
      <c r="K90" s="82"/>
      <c r="L90" s="61"/>
      <c r="M90" s="82"/>
      <c r="N90" s="61"/>
      <c r="O90" s="82"/>
      <c r="P90" s="61"/>
      <c r="Q90" s="82"/>
      <c r="R90" s="61"/>
      <c r="S90" s="82"/>
      <c r="T90" s="61"/>
      <c r="U90" s="82"/>
      <c r="V90" s="61"/>
      <c r="W90" s="82"/>
      <c r="X90" s="61"/>
      <c r="Y90" s="82"/>
      <c r="Z90" s="61"/>
      <c r="AA90" s="82"/>
      <c r="AC90" s="82"/>
      <c r="AE90" s="82"/>
    </row>
    <row r="91" spans="1:31" x14ac:dyDescent="0.25">
      <c r="F91" s="61"/>
      <c r="H91" s="61"/>
      <c r="J91" s="61"/>
      <c r="L91" s="61"/>
      <c r="N91" s="61"/>
      <c r="P91" s="61"/>
      <c r="Q91" s="61">
        <f>E86/12</f>
        <v>1.25</v>
      </c>
      <c r="R91" s="61"/>
      <c r="T91" s="61"/>
      <c r="V91" s="61"/>
      <c r="X91" s="61"/>
      <c r="Z91" s="61"/>
    </row>
    <row r="92" spans="1:31" x14ac:dyDescent="0.25">
      <c r="F92" s="61"/>
      <c r="H92" s="61"/>
      <c r="J92" s="61"/>
      <c r="L92" s="61"/>
      <c r="N92" s="61"/>
      <c r="P92" s="61"/>
      <c r="Q92" s="118">
        <f>E87/12</f>
        <v>0.41666666666666669</v>
      </c>
      <c r="R92" s="61"/>
      <c r="T92" s="61"/>
      <c r="V92" s="61"/>
      <c r="X92" s="61"/>
      <c r="Z92" s="61"/>
    </row>
    <row r="93" spans="1:31" x14ac:dyDescent="0.25">
      <c r="F93" s="61"/>
      <c r="H93" s="61"/>
      <c r="J93" s="61"/>
      <c r="L93" s="61"/>
      <c r="N93" s="61"/>
      <c r="P93" s="61"/>
      <c r="R93" s="61"/>
      <c r="T93" s="61"/>
      <c r="V93" s="61"/>
      <c r="X93" s="61"/>
      <c r="Z93" s="61"/>
    </row>
    <row r="94" spans="1:31" x14ac:dyDescent="0.25">
      <c r="F94" s="61"/>
      <c r="H94" s="61"/>
      <c r="J94" s="61"/>
      <c r="L94" s="61"/>
      <c r="N94" s="61"/>
      <c r="P94" s="61"/>
      <c r="R94" s="61"/>
      <c r="T94" s="61"/>
      <c r="V94" s="61"/>
      <c r="X94" s="61"/>
      <c r="Z94" s="61"/>
    </row>
    <row r="95" spans="1:31" x14ac:dyDescent="0.25">
      <c r="F95" s="61"/>
      <c r="H95" s="61"/>
      <c r="J95" s="61"/>
      <c r="L95" s="61"/>
      <c r="N95" s="61"/>
      <c r="P95" s="61"/>
      <c r="R95" s="61"/>
      <c r="T95" s="61"/>
      <c r="V95" s="61"/>
      <c r="X95" s="61"/>
      <c r="Z95" s="61"/>
    </row>
    <row r="96" spans="1:31" x14ac:dyDescent="0.25">
      <c r="F96" s="61"/>
      <c r="H96" s="61"/>
      <c r="J96" s="61"/>
      <c r="L96" s="61"/>
      <c r="N96" s="61"/>
      <c r="P96" s="61"/>
      <c r="R96" s="61"/>
      <c r="T96" s="61"/>
      <c r="V96" s="61"/>
      <c r="X96" s="61"/>
      <c r="Z96" s="61"/>
    </row>
    <row r="97" spans="6:26" x14ac:dyDescent="0.25">
      <c r="F97" s="61"/>
      <c r="H97" s="61"/>
      <c r="J97" s="61"/>
      <c r="L97" s="61"/>
      <c r="N97" s="61"/>
      <c r="P97" s="61"/>
      <c r="R97" s="61"/>
      <c r="T97" s="61"/>
      <c r="V97" s="61"/>
      <c r="X97" s="61"/>
      <c r="Z97" s="61"/>
    </row>
    <row r="98" spans="6:26" x14ac:dyDescent="0.25">
      <c r="F98" s="61"/>
      <c r="H98" s="61"/>
      <c r="J98" s="61"/>
      <c r="L98" s="61"/>
      <c r="N98" s="61"/>
      <c r="P98" s="61"/>
      <c r="R98" s="61"/>
      <c r="T98" s="61"/>
      <c r="V98" s="61"/>
      <c r="X98" s="61"/>
      <c r="Z98" s="61"/>
    </row>
    <row r="99" spans="6:26" x14ac:dyDescent="0.25">
      <c r="F99" s="61"/>
      <c r="H99" s="61"/>
      <c r="J99" s="61"/>
      <c r="L99" s="61"/>
      <c r="N99" s="61"/>
      <c r="P99" s="61"/>
      <c r="R99" s="61"/>
      <c r="T99" s="61"/>
      <c r="V99" s="61"/>
      <c r="X99" s="61"/>
      <c r="Z99" s="61"/>
    </row>
    <row r="100" spans="6:26" x14ac:dyDescent="0.25">
      <c r="F100" s="61"/>
      <c r="H100" s="61"/>
      <c r="J100" s="61"/>
      <c r="L100" s="61"/>
      <c r="N100" s="61"/>
      <c r="P100" s="61"/>
      <c r="R100" s="61"/>
      <c r="T100" s="61"/>
      <c r="V100" s="61"/>
      <c r="X100" s="61"/>
      <c r="Z100" s="61"/>
    </row>
    <row r="101" spans="6:26" x14ac:dyDescent="0.25">
      <c r="F101" s="61"/>
      <c r="H101" s="61"/>
      <c r="J101" s="61"/>
      <c r="L101" s="61"/>
      <c r="N101" s="61"/>
      <c r="P101" s="61"/>
      <c r="R101" s="61"/>
      <c r="T101" s="61"/>
      <c r="V101" s="61"/>
      <c r="X101" s="61"/>
      <c r="Z101" s="61"/>
    </row>
    <row r="102" spans="6:26" x14ac:dyDescent="0.25">
      <c r="F102" s="61"/>
      <c r="H102" s="61"/>
      <c r="J102" s="61"/>
      <c r="L102" s="61"/>
      <c r="N102" s="61"/>
      <c r="P102" s="61"/>
      <c r="R102" s="61"/>
      <c r="T102" s="61"/>
      <c r="V102" s="61"/>
      <c r="X102" s="61"/>
      <c r="Z102" s="61"/>
    </row>
    <row r="103" spans="6:26" x14ac:dyDescent="0.25">
      <c r="F103" s="61"/>
      <c r="H103" s="61"/>
      <c r="J103" s="61"/>
      <c r="L103" s="61"/>
      <c r="N103" s="61"/>
      <c r="P103" s="61"/>
      <c r="R103" s="61"/>
      <c r="T103" s="61"/>
      <c r="V103" s="61"/>
      <c r="X103" s="61"/>
      <c r="Z103" s="61"/>
    </row>
    <row r="104" spans="6:26" x14ac:dyDescent="0.25">
      <c r="F104" s="61"/>
      <c r="H104" s="61"/>
      <c r="J104" s="61"/>
      <c r="L104" s="61"/>
      <c r="N104" s="61"/>
      <c r="P104" s="61"/>
      <c r="R104" s="61"/>
      <c r="T104" s="61"/>
      <c r="V104" s="61"/>
      <c r="X104" s="61"/>
      <c r="Z104" s="61"/>
    </row>
    <row r="105" spans="6:26" x14ac:dyDescent="0.25">
      <c r="F105" s="61"/>
      <c r="H105" s="61"/>
      <c r="J105" s="61"/>
      <c r="L105" s="61"/>
      <c r="N105" s="61"/>
      <c r="P105" s="61"/>
      <c r="R105" s="61"/>
      <c r="T105" s="61"/>
      <c r="V105" s="61"/>
      <c r="X105" s="61"/>
      <c r="Z105" s="61"/>
    </row>
    <row r="106" spans="6:26" x14ac:dyDescent="0.25">
      <c r="F106" s="61"/>
      <c r="H106" s="61"/>
      <c r="J106" s="61"/>
      <c r="L106" s="61"/>
      <c r="N106" s="61"/>
      <c r="P106" s="61"/>
      <c r="R106" s="61"/>
      <c r="T106" s="61"/>
      <c r="V106" s="61"/>
      <c r="X106" s="61"/>
      <c r="Z106" s="61"/>
    </row>
    <row r="107" spans="6:26" x14ac:dyDescent="0.25">
      <c r="F107" s="61"/>
      <c r="H107" s="61"/>
      <c r="J107" s="61"/>
      <c r="L107" s="61"/>
      <c r="N107" s="61"/>
      <c r="P107" s="61"/>
      <c r="R107" s="61"/>
      <c r="T107" s="61"/>
      <c r="V107" s="61"/>
      <c r="X107" s="61"/>
      <c r="Z107" s="61"/>
    </row>
    <row r="108" spans="6:26" x14ac:dyDescent="0.25">
      <c r="F108" s="61"/>
      <c r="H108" s="61"/>
      <c r="J108" s="61"/>
      <c r="L108" s="61"/>
      <c r="N108" s="61"/>
      <c r="P108" s="61"/>
      <c r="R108" s="61"/>
      <c r="T108" s="61"/>
      <c r="V108" s="61"/>
      <c r="X108" s="61"/>
      <c r="Z108" s="61"/>
    </row>
    <row r="109" spans="6:26" x14ac:dyDescent="0.25">
      <c r="F109" s="61"/>
      <c r="H109" s="61"/>
      <c r="J109" s="61"/>
      <c r="L109" s="61"/>
      <c r="N109" s="61"/>
      <c r="P109" s="61"/>
      <c r="R109" s="61"/>
      <c r="T109" s="61"/>
      <c r="V109" s="61"/>
      <c r="X109" s="61"/>
      <c r="Z109" s="61"/>
    </row>
    <row r="110" spans="6:26" x14ac:dyDescent="0.25">
      <c r="F110" s="61"/>
      <c r="H110" s="61"/>
      <c r="J110" s="61"/>
      <c r="L110" s="61"/>
      <c r="N110" s="61"/>
      <c r="P110" s="61"/>
      <c r="R110" s="61"/>
      <c r="T110" s="61"/>
      <c r="V110" s="61"/>
      <c r="X110" s="61"/>
      <c r="Z110" s="61"/>
    </row>
    <row r="111" spans="6:26" x14ac:dyDescent="0.25">
      <c r="F111" s="61"/>
      <c r="H111" s="61"/>
      <c r="J111" s="61"/>
      <c r="L111" s="61"/>
      <c r="N111" s="61"/>
      <c r="P111" s="61"/>
      <c r="R111" s="61"/>
      <c r="T111" s="61"/>
      <c r="V111" s="61"/>
      <c r="X111" s="61"/>
      <c r="Z111" s="61"/>
    </row>
    <row r="112" spans="6:26" x14ac:dyDescent="0.25">
      <c r="F112" s="61"/>
      <c r="H112" s="61"/>
      <c r="J112" s="61"/>
      <c r="L112" s="61"/>
      <c r="N112" s="61"/>
      <c r="P112" s="61"/>
      <c r="R112" s="61"/>
      <c r="T112" s="61"/>
      <c r="V112" s="61"/>
      <c r="X112" s="61"/>
      <c r="Z112" s="61"/>
    </row>
    <row r="113" spans="6:26" x14ac:dyDescent="0.25">
      <c r="F113" s="61"/>
      <c r="H113" s="61"/>
      <c r="J113" s="61"/>
      <c r="L113" s="61"/>
      <c r="N113" s="61"/>
      <c r="P113" s="61"/>
      <c r="R113" s="61"/>
      <c r="T113" s="61"/>
      <c r="V113" s="61"/>
      <c r="X113" s="61"/>
      <c r="Z113" s="61"/>
    </row>
    <row r="114" spans="6:26" x14ac:dyDescent="0.25">
      <c r="F114" s="61"/>
      <c r="H114" s="61"/>
      <c r="J114" s="61"/>
      <c r="L114" s="61"/>
      <c r="N114" s="61"/>
      <c r="P114" s="61"/>
      <c r="R114" s="61"/>
      <c r="T114" s="61"/>
      <c r="V114" s="61"/>
      <c r="X114" s="61"/>
      <c r="Z114" s="61"/>
    </row>
    <row r="115" spans="6:26" x14ac:dyDescent="0.25">
      <c r="F115" s="61"/>
      <c r="H115" s="61"/>
      <c r="J115" s="61"/>
      <c r="L115" s="61"/>
      <c r="N115" s="61"/>
      <c r="P115" s="61"/>
      <c r="R115" s="61"/>
      <c r="T115" s="61"/>
      <c r="V115" s="61"/>
      <c r="X115" s="61"/>
      <c r="Z115" s="61"/>
    </row>
    <row r="116" spans="6:26" x14ac:dyDescent="0.25">
      <c r="F116" s="61"/>
      <c r="H116" s="61"/>
      <c r="J116" s="61"/>
      <c r="L116" s="61"/>
      <c r="N116" s="61"/>
      <c r="P116" s="61"/>
      <c r="R116" s="61"/>
      <c r="T116" s="61"/>
      <c r="V116" s="61"/>
      <c r="X116" s="61"/>
      <c r="Z116" s="61"/>
    </row>
    <row r="117" spans="6:26" x14ac:dyDescent="0.25">
      <c r="F117" s="61"/>
      <c r="H117" s="61"/>
      <c r="J117" s="61"/>
      <c r="L117" s="61"/>
      <c r="N117" s="61"/>
      <c r="P117" s="61"/>
      <c r="R117" s="61"/>
      <c r="T117" s="61"/>
      <c r="V117" s="61"/>
      <c r="X117" s="61"/>
      <c r="Z117" s="61"/>
    </row>
    <row r="118" spans="6:26" x14ac:dyDescent="0.25">
      <c r="F118" s="61"/>
      <c r="H118" s="61"/>
      <c r="J118" s="61"/>
      <c r="L118" s="61"/>
      <c r="N118" s="61"/>
      <c r="P118" s="61"/>
      <c r="R118" s="61"/>
      <c r="T118" s="61"/>
      <c r="V118" s="61"/>
      <c r="X118" s="61"/>
      <c r="Z118" s="61"/>
    </row>
    <row r="119" spans="6:26" x14ac:dyDescent="0.25">
      <c r="F119" s="61"/>
      <c r="H119" s="61"/>
      <c r="J119" s="61"/>
      <c r="L119" s="61"/>
      <c r="N119" s="61"/>
      <c r="P119" s="61"/>
      <c r="R119" s="61"/>
      <c r="T119" s="61"/>
      <c r="V119" s="61"/>
      <c r="X119" s="61"/>
      <c r="Z119" s="61"/>
    </row>
    <row r="120" spans="6:26" x14ac:dyDescent="0.25">
      <c r="F120" s="61"/>
      <c r="H120" s="61"/>
      <c r="J120" s="61"/>
      <c r="L120" s="61"/>
      <c r="N120" s="61"/>
      <c r="P120" s="61"/>
      <c r="R120" s="61"/>
      <c r="T120" s="61"/>
      <c r="V120" s="61"/>
      <c r="X120" s="61"/>
      <c r="Z120" s="61"/>
    </row>
    <row r="121" spans="6:26" x14ac:dyDescent="0.25">
      <c r="F121" s="61"/>
      <c r="H121" s="61"/>
      <c r="J121" s="61"/>
      <c r="L121" s="61"/>
      <c r="N121" s="61"/>
      <c r="P121" s="61"/>
      <c r="R121" s="61"/>
      <c r="T121" s="61"/>
      <c r="V121" s="61"/>
      <c r="X121" s="61"/>
      <c r="Z121" s="61"/>
    </row>
    <row r="122" spans="6:26" x14ac:dyDescent="0.25">
      <c r="F122" s="61"/>
      <c r="H122" s="61"/>
      <c r="J122" s="61"/>
      <c r="L122" s="61"/>
      <c r="N122" s="61"/>
      <c r="P122" s="61"/>
      <c r="R122" s="61"/>
      <c r="T122" s="61"/>
      <c r="V122" s="61"/>
      <c r="X122" s="61"/>
      <c r="Z122" s="61"/>
    </row>
    <row r="123" spans="6:26" x14ac:dyDescent="0.25">
      <c r="F123" s="61"/>
      <c r="H123" s="61"/>
      <c r="J123" s="61"/>
      <c r="L123" s="61"/>
      <c r="N123" s="61"/>
      <c r="P123" s="61"/>
      <c r="R123" s="61"/>
      <c r="T123" s="61"/>
      <c r="V123" s="61"/>
      <c r="X123" s="61"/>
      <c r="Z123" s="61"/>
    </row>
    <row r="124" spans="6:26" x14ac:dyDescent="0.25">
      <c r="F124" s="61"/>
      <c r="H124" s="61"/>
      <c r="J124" s="61"/>
      <c r="L124" s="61"/>
      <c r="N124" s="61"/>
      <c r="P124" s="61"/>
      <c r="R124" s="61"/>
      <c r="T124" s="61"/>
      <c r="V124" s="61"/>
      <c r="X124" s="61"/>
      <c r="Z124" s="61"/>
    </row>
    <row r="125" spans="6:26" x14ac:dyDescent="0.25">
      <c r="F125" s="61"/>
      <c r="H125" s="61"/>
      <c r="J125" s="61"/>
      <c r="L125" s="61"/>
      <c r="N125" s="61"/>
      <c r="P125" s="61"/>
      <c r="R125" s="61"/>
      <c r="T125" s="61"/>
      <c r="V125" s="61"/>
      <c r="X125" s="61"/>
      <c r="Z125" s="61"/>
    </row>
    <row r="126" spans="6:26" x14ac:dyDescent="0.25">
      <c r="F126" s="61"/>
      <c r="H126" s="61"/>
      <c r="J126" s="61"/>
      <c r="L126" s="61"/>
      <c r="N126" s="61"/>
      <c r="P126" s="61"/>
      <c r="R126" s="61"/>
      <c r="T126" s="61"/>
      <c r="V126" s="61"/>
      <c r="X126" s="61"/>
      <c r="Z126" s="61"/>
    </row>
    <row r="127" spans="6:26" x14ac:dyDescent="0.25">
      <c r="F127" s="61"/>
      <c r="H127" s="61"/>
      <c r="J127" s="61"/>
      <c r="L127" s="61"/>
      <c r="N127" s="61"/>
      <c r="P127" s="61"/>
      <c r="R127" s="61"/>
      <c r="T127" s="61"/>
      <c r="V127" s="61"/>
      <c r="X127" s="61"/>
      <c r="Z127" s="61"/>
    </row>
    <row r="128" spans="6:26" x14ac:dyDescent="0.25">
      <c r="F128" s="61"/>
      <c r="H128" s="61"/>
      <c r="J128" s="61"/>
      <c r="L128" s="61"/>
      <c r="N128" s="61"/>
      <c r="P128" s="61"/>
      <c r="R128" s="61"/>
      <c r="T128" s="61"/>
      <c r="V128" s="61"/>
      <c r="X128" s="61"/>
      <c r="Z128" s="61"/>
    </row>
    <row r="129" spans="6:26" x14ac:dyDescent="0.25">
      <c r="F129" s="61"/>
      <c r="H129" s="61"/>
      <c r="J129" s="61"/>
      <c r="L129" s="61"/>
      <c r="N129" s="61"/>
      <c r="P129" s="61"/>
      <c r="R129" s="61"/>
      <c r="T129" s="61"/>
      <c r="V129" s="61"/>
      <c r="X129" s="61"/>
      <c r="Z129" s="61"/>
    </row>
    <row r="130" spans="6:26" x14ac:dyDescent="0.25">
      <c r="F130" s="61"/>
      <c r="H130" s="61"/>
      <c r="J130" s="61"/>
      <c r="L130" s="61"/>
      <c r="N130" s="61"/>
      <c r="P130" s="61"/>
      <c r="R130" s="61"/>
      <c r="T130" s="61"/>
      <c r="V130" s="61"/>
      <c r="X130" s="61"/>
      <c r="Z130" s="61"/>
    </row>
    <row r="131" spans="6:26" x14ac:dyDescent="0.25">
      <c r="F131" s="61"/>
      <c r="H131" s="61"/>
      <c r="J131" s="61"/>
      <c r="L131" s="61"/>
      <c r="N131" s="61"/>
      <c r="P131" s="61"/>
      <c r="R131" s="61"/>
      <c r="T131" s="61"/>
      <c r="V131" s="61"/>
      <c r="X131" s="61"/>
      <c r="Z131" s="61"/>
    </row>
    <row r="132" spans="6:26" x14ac:dyDescent="0.25">
      <c r="F132" s="61"/>
      <c r="H132" s="61"/>
      <c r="J132" s="61"/>
      <c r="L132" s="61"/>
      <c r="N132" s="61"/>
      <c r="P132" s="61"/>
      <c r="R132" s="61"/>
      <c r="T132" s="61"/>
      <c r="V132" s="61"/>
      <c r="X132" s="61"/>
      <c r="Z132" s="61"/>
    </row>
    <row r="133" spans="6:26" x14ac:dyDescent="0.25">
      <c r="F133" s="61"/>
      <c r="H133" s="61"/>
      <c r="J133" s="61"/>
      <c r="L133" s="61"/>
      <c r="N133" s="61"/>
      <c r="P133" s="61"/>
      <c r="R133" s="61"/>
      <c r="T133" s="61"/>
      <c r="V133" s="61"/>
      <c r="X133" s="61"/>
      <c r="Z133" s="61"/>
    </row>
    <row r="134" spans="6:26" x14ac:dyDescent="0.25">
      <c r="F134" s="61"/>
      <c r="H134" s="61"/>
      <c r="J134" s="61"/>
      <c r="L134" s="61"/>
      <c r="N134" s="61"/>
      <c r="P134" s="61"/>
      <c r="R134" s="61"/>
      <c r="T134" s="61"/>
      <c r="V134" s="61"/>
      <c r="X134" s="61"/>
      <c r="Z134" s="61"/>
    </row>
    <row r="135" spans="6:26" x14ac:dyDescent="0.25">
      <c r="F135" s="61"/>
      <c r="H135" s="61"/>
      <c r="J135" s="61"/>
      <c r="L135" s="61"/>
      <c r="N135" s="61"/>
      <c r="P135" s="61"/>
      <c r="R135" s="61"/>
      <c r="T135" s="61"/>
      <c r="V135" s="61"/>
      <c r="X135" s="61"/>
      <c r="Z135" s="61"/>
    </row>
    <row r="136" spans="6:26" x14ac:dyDescent="0.25">
      <c r="F136" s="61"/>
      <c r="H136" s="61"/>
      <c r="J136" s="61"/>
      <c r="L136" s="61"/>
      <c r="N136" s="61"/>
      <c r="P136" s="61"/>
      <c r="R136" s="61"/>
      <c r="T136" s="61"/>
      <c r="V136" s="61"/>
      <c r="X136" s="61"/>
      <c r="Z136" s="61"/>
    </row>
    <row r="137" spans="6:26" x14ac:dyDescent="0.25">
      <c r="F137" s="61"/>
      <c r="H137" s="61"/>
      <c r="J137" s="61"/>
      <c r="L137" s="61"/>
      <c r="N137" s="61"/>
      <c r="P137" s="61"/>
      <c r="R137" s="61"/>
      <c r="T137" s="61"/>
      <c r="V137" s="61"/>
      <c r="X137" s="61"/>
      <c r="Z137" s="61"/>
    </row>
    <row r="138" spans="6:26" x14ac:dyDescent="0.25">
      <c r="F138" s="61"/>
      <c r="H138" s="61"/>
      <c r="J138" s="61"/>
      <c r="L138" s="61"/>
      <c r="N138" s="61"/>
      <c r="P138" s="61"/>
      <c r="R138" s="61"/>
      <c r="T138" s="61"/>
      <c r="V138" s="61"/>
      <c r="X138" s="61"/>
      <c r="Z138" s="61"/>
    </row>
    <row r="139" spans="6:26" x14ac:dyDescent="0.25">
      <c r="F139" s="61"/>
      <c r="H139" s="61"/>
      <c r="J139" s="61"/>
      <c r="L139" s="61"/>
      <c r="N139" s="61"/>
      <c r="P139" s="61"/>
      <c r="R139" s="61"/>
      <c r="T139" s="61"/>
      <c r="V139" s="61"/>
      <c r="X139" s="61"/>
      <c r="Z139" s="61"/>
    </row>
    <row r="140" spans="6:26" x14ac:dyDescent="0.25">
      <c r="F140" s="61"/>
      <c r="H140" s="61"/>
      <c r="J140" s="61"/>
      <c r="L140" s="61"/>
      <c r="N140" s="61"/>
      <c r="P140" s="61"/>
      <c r="R140" s="61"/>
      <c r="T140" s="61"/>
      <c r="V140" s="61"/>
      <c r="X140" s="61"/>
      <c r="Z140" s="61"/>
    </row>
    <row r="141" spans="6:26" x14ac:dyDescent="0.25">
      <c r="F141" s="61"/>
      <c r="H141" s="61"/>
      <c r="J141" s="61"/>
      <c r="L141" s="61"/>
      <c r="N141" s="61"/>
      <c r="P141" s="61"/>
      <c r="R141" s="61"/>
      <c r="T141" s="61"/>
      <c r="V141" s="61"/>
      <c r="X141" s="61"/>
      <c r="Z141" s="61"/>
    </row>
    <row r="142" spans="6:26" x14ac:dyDescent="0.25">
      <c r="F142" s="61"/>
      <c r="H142" s="61"/>
      <c r="J142" s="61"/>
      <c r="L142" s="61"/>
      <c r="N142" s="61"/>
      <c r="P142" s="61"/>
      <c r="R142" s="61"/>
      <c r="T142" s="61"/>
      <c r="V142" s="61"/>
      <c r="X142" s="61"/>
      <c r="Z142" s="61"/>
    </row>
    <row r="143" spans="6:26" x14ac:dyDescent="0.25">
      <c r="F143" s="61"/>
      <c r="H143" s="61"/>
      <c r="J143" s="61"/>
      <c r="L143" s="61"/>
      <c r="N143" s="61"/>
      <c r="P143" s="61"/>
      <c r="R143" s="61"/>
      <c r="T143" s="61"/>
      <c r="V143" s="61"/>
      <c r="X143" s="61"/>
      <c r="Z143" s="61"/>
    </row>
    <row r="144" spans="6:26" x14ac:dyDescent="0.25">
      <c r="F144" s="61"/>
      <c r="H144" s="61"/>
      <c r="J144" s="61"/>
      <c r="L144" s="61"/>
      <c r="N144" s="61"/>
      <c r="P144" s="61"/>
      <c r="R144" s="61"/>
      <c r="T144" s="61"/>
      <c r="V144" s="61"/>
      <c r="X144" s="61"/>
      <c r="Z144" s="61"/>
    </row>
    <row r="145" spans="6:26" x14ac:dyDescent="0.25">
      <c r="F145" s="61"/>
      <c r="H145" s="61"/>
      <c r="J145" s="61"/>
      <c r="L145" s="61"/>
      <c r="N145" s="61"/>
      <c r="P145" s="61"/>
      <c r="R145" s="61"/>
      <c r="T145" s="61"/>
      <c r="V145" s="61"/>
      <c r="X145" s="61"/>
      <c r="Z145" s="61"/>
    </row>
    <row r="146" spans="6:26" x14ac:dyDescent="0.25">
      <c r="F146" s="61"/>
      <c r="H146" s="61"/>
      <c r="J146" s="61"/>
      <c r="L146" s="61"/>
      <c r="N146" s="61"/>
      <c r="P146" s="61"/>
      <c r="R146" s="61"/>
      <c r="T146" s="61"/>
      <c r="V146" s="61"/>
      <c r="X146" s="61"/>
      <c r="Z146" s="61"/>
    </row>
    <row r="147" spans="6:26" x14ac:dyDescent="0.25">
      <c r="F147" s="61"/>
      <c r="H147" s="61"/>
      <c r="J147" s="61"/>
      <c r="L147" s="61"/>
      <c r="N147" s="61"/>
      <c r="P147" s="61"/>
      <c r="R147" s="61"/>
      <c r="T147" s="61"/>
      <c r="V147" s="61"/>
      <c r="X147" s="61"/>
      <c r="Z147" s="61"/>
    </row>
    <row r="148" spans="6:26" x14ac:dyDescent="0.25">
      <c r="F148" s="61"/>
      <c r="H148" s="61"/>
      <c r="J148" s="61"/>
      <c r="L148" s="61"/>
      <c r="N148" s="61"/>
      <c r="P148" s="61"/>
      <c r="R148" s="61"/>
      <c r="T148" s="61"/>
      <c r="V148" s="61"/>
      <c r="X148" s="61"/>
      <c r="Z148" s="61"/>
    </row>
    <row r="149" spans="6:26" x14ac:dyDescent="0.25">
      <c r="F149" s="61"/>
      <c r="H149" s="61"/>
      <c r="J149" s="61"/>
      <c r="L149" s="61"/>
      <c r="N149" s="61"/>
      <c r="P149" s="61"/>
      <c r="R149" s="61"/>
      <c r="T149" s="61"/>
      <c r="V149" s="61"/>
      <c r="X149" s="61"/>
      <c r="Z149" s="61"/>
    </row>
    <row r="150" spans="6:26" x14ac:dyDescent="0.25">
      <c r="F150" s="61"/>
      <c r="H150" s="61"/>
      <c r="J150" s="61"/>
      <c r="L150" s="61"/>
      <c r="N150" s="61"/>
      <c r="P150" s="61"/>
      <c r="R150" s="61"/>
      <c r="T150" s="61"/>
      <c r="V150" s="61"/>
      <c r="X150" s="61"/>
      <c r="Z150" s="61"/>
    </row>
    <row r="151" spans="6:26" x14ac:dyDescent="0.25">
      <c r="F151" s="61"/>
      <c r="H151" s="61"/>
      <c r="J151" s="61"/>
      <c r="L151" s="61"/>
      <c r="N151" s="61"/>
      <c r="P151" s="61"/>
      <c r="R151" s="61"/>
      <c r="T151" s="61"/>
      <c r="V151" s="61"/>
      <c r="X151" s="61"/>
      <c r="Z151" s="61"/>
    </row>
    <row r="152" spans="6:26" x14ac:dyDescent="0.25">
      <c r="F152" s="61"/>
      <c r="H152" s="61"/>
      <c r="J152" s="61"/>
      <c r="L152" s="61"/>
      <c r="N152" s="61"/>
      <c r="P152" s="61"/>
      <c r="R152" s="61"/>
      <c r="T152" s="61"/>
      <c r="V152" s="61"/>
      <c r="X152" s="61"/>
      <c r="Z152" s="61"/>
    </row>
    <row r="153" spans="6:26" x14ac:dyDescent="0.25">
      <c r="F153" s="61"/>
      <c r="H153" s="61"/>
      <c r="J153" s="61"/>
      <c r="L153" s="61"/>
      <c r="N153" s="61"/>
      <c r="P153" s="61"/>
      <c r="R153" s="61"/>
      <c r="T153" s="61"/>
      <c r="V153" s="61"/>
      <c r="X153" s="61"/>
      <c r="Z153" s="61"/>
    </row>
    <row r="154" spans="6:26" x14ac:dyDescent="0.25">
      <c r="F154" s="61"/>
      <c r="H154" s="61"/>
      <c r="J154" s="61"/>
      <c r="L154" s="61"/>
      <c r="N154" s="61"/>
      <c r="P154" s="61"/>
      <c r="R154" s="61"/>
      <c r="T154" s="61"/>
      <c r="V154" s="61"/>
      <c r="X154" s="61"/>
      <c r="Z154" s="61"/>
    </row>
    <row r="155" spans="6:26" x14ac:dyDescent="0.25">
      <c r="F155" s="61"/>
      <c r="H155" s="61"/>
      <c r="J155" s="61"/>
      <c r="L155" s="61"/>
      <c r="N155" s="61"/>
      <c r="P155" s="61"/>
      <c r="R155" s="61"/>
      <c r="T155" s="61"/>
      <c r="V155" s="61"/>
      <c r="X155" s="61"/>
      <c r="Z155" s="61"/>
    </row>
    <row r="156" spans="6:26" x14ac:dyDescent="0.25">
      <c r="F156" s="61"/>
      <c r="H156" s="61"/>
      <c r="J156" s="61"/>
      <c r="L156" s="61"/>
      <c r="N156" s="61"/>
      <c r="P156" s="61"/>
      <c r="R156" s="61"/>
      <c r="T156" s="61"/>
      <c r="V156" s="61"/>
      <c r="X156" s="61"/>
      <c r="Z156" s="61"/>
    </row>
    <row r="157" spans="6:26" x14ac:dyDescent="0.25">
      <c r="F157" s="61"/>
      <c r="H157" s="61"/>
      <c r="J157" s="61"/>
      <c r="L157" s="61"/>
      <c r="N157" s="61"/>
      <c r="P157" s="61"/>
      <c r="R157" s="61"/>
      <c r="T157" s="61"/>
      <c r="V157" s="61"/>
      <c r="X157" s="61"/>
      <c r="Z157" s="61"/>
    </row>
    <row r="158" spans="6:26" x14ac:dyDescent="0.25">
      <c r="F158" s="61"/>
      <c r="H158" s="61"/>
      <c r="J158" s="61"/>
      <c r="L158" s="61"/>
      <c r="N158" s="61"/>
      <c r="P158" s="61"/>
      <c r="R158" s="61"/>
      <c r="T158" s="61"/>
      <c r="V158" s="61"/>
      <c r="X158" s="61"/>
      <c r="Z158" s="61"/>
    </row>
    <row r="159" spans="6:26" x14ac:dyDescent="0.25">
      <c r="F159" s="61"/>
      <c r="H159" s="61"/>
      <c r="J159" s="61"/>
      <c r="L159" s="61"/>
      <c r="N159" s="61"/>
      <c r="P159" s="61"/>
      <c r="R159" s="61"/>
      <c r="T159" s="61"/>
      <c r="V159" s="61"/>
      <c r="X159" s="61"/>
      <c r="Z159" s="61"/>
    </row>
    <row r="160" spans="6:26" x14ac:dyDescent="0.25">
      <c r="F160" s="61"/>
      <c r="H160" s="61"/>
      <c r="J160" s="61"/>
      <c r="L160" s="61"/>
      <c r="N160" s="61"/>
      <c r="P160" s="61"/>
      <c r="R160" s="61"/>
      <c r="T160" s="61"/>
      <c r="V160" s="61"/>
      <c r="X160" s="61"/>
      <c r="Z160" s="61"/>
    </row>
    <row r="161" spans="6:26" x14ac:dyDescent="0.25">
      <c r="F161" s="61"/>
      <c r="H161" s="61"/>
      <c r="J161" s="61"/>
      <c r="L161" s="61"/>
      <c r="N161" s="61"/>
      <c r="P161" s="61"/>
      <c r="R161" s="61"/>
      <c r="T161" s="61"/>
      <c r="V161" s="61"/>
      <c r="X161" s="61"/>
      <c r="Z161" s="61"/>
    </row>
    <row r="162" spans="6:26" x14ac:dyDescent="0.25">
      <c r="F162" s="61"/>
      <c r="H162" s="61"/>
      <c r="J162" s="61"/>
      <c r="L162" s="61"/>
      <c r="N162" s="61"/>
      <c r="P162" s="61"/>
      <c r="R162" s="61"/>
      <c r="T162" s="61"/>
      <c r="V162" s="61"/>
      <c r="X162" s="61"/>
      <c r="Z162" s="61"/>
    </row>
    <row r="163" spans="6:26" x14ac:dyDescent="0.25">
      <c r="F163" s="61"/>
      <c r="H163" s="61"/>
      <c r="J163" s="61"/>
      <c r="L163" s="61"/>
      <c r="N163" s="61"/>
      <c r="P163" s="61"/>
      <c r="R163" s="61"/>
      <c r="T163" s="61"/>
      <c r="V163" s="61"/>
      <c r="X163" s="61"/>
      <c r="Z163" s="61"/>
    </row>
    <row r="164" spans="6:26" x14ac:dyDescent="0.25">
      <c r="F164" s="61"/>
      <c r="H164" s="61"/>
      <c r="J164" s="61"/>
      <c r="L164" s="61"/>
      <c r="N164" s="61"/>
      <c r="P164" s="61"/>
      <c r="R164" s="61"/>
      <c r="T164" s="61"/>
      <c r="V164" s="61"/>
      <c r="X164" s="61"/>
      <c r="Z164" s="61"/>
    </row>
    <row r="165" spans="6:26" x14ac:dyDescent="0.25">
      <c r="F165" s="61"/>
      <c r="H165" s="61"/>
      <c r="J165" s="61"/>
      <c r="L165" s="61"/>
      <c r="N165" s="61"/>
      <c r="P165" s="61"/>
      <c r="R165" s="61"/>
      <c r="T165" s="61"/>
      <c r="V165" s="61"/>
      <c r="X165" s="61"/>
      <c r="Z165" s="61"/>
    </row>
    <row r="166" spans="6:26" x14ac:dyDescent="0.25">
      <c r="F166" s="61"/>
      <c r="H166" s="61"/>
      <c r="J166" s="61"/>
      <c r="L166" s="61"/>
      <c r="N166" s="61"/>
      <c r="P166" s="61"/>
      <c r="R166" s="61"/>
      <c r="T166" s="61"/>
      <c r="V166" s="61"/>
      <c r="X166" s="61"/>
      <c r="Z166" s="61"/>
    </row>
    <row r="167" spans="6:26" x14ac:dyDescent="0.25">
      <c r="F167" s="61"/>
      <c r="H167" s="61"/>
      <c r="J167" s="61"/>
      <c r="L167" s="61"/>
      <c r="N167" s="61"/>
      <c r="P167" s="61"/>
      <c r="R167" s="61"/>
      <c r="T167" s="61"/>
      <c r="V167" s="61"/>
      <c r="X167" s="61"/>
      <c r="Z167" s="61"/>
    </row>
    <row r="168" spans="6:26" x14ac:dyDescent="0.25">
      <c r="F168" s="61"/>
      <c r="H168" s="61"/>
      <c r="J168" s="61"/>
      <c r="L168" s="61"/>
      <c r="N168" s="61"/>
      <c r="P168" s="61"/>
      <c r="R168" s="61"/>
      <c r="T168" s="61"/>
      <c r="V168" s="61"/>
      <c r="X168" s="61"/>
      <c r="Z168" s="61"/>
    </row>
    <row r="169" spans="6:26" x14ac:dyDescent="0.25">
      <c r="F169" s="61"/>
      <c r="H169" s="61"/>
      <c r="J169" s="61"/>
      <c r="L169" s="61"/>
      <c r="N169" s="61"/>
      <c r="P169" s="61"/>
      <c r="R169" s="61"/>
      <c r="T169" s="61"/>
      <c r="V169" s="61"/>
      <c r="X169" s="61"/>
      <c r="Z169" s="61"/>
    </row>
    <row r="170" spans="6:26" x14ac:dyDescent="0.25">
      <c r="F170" s="61"/>
      <c r="H170" s="61"/>
      <c r="J170" s="61"/>
      <c r="L170" s="61"/>
      <c r="N170" s="61"/>
      <c r="P170" s="61"/>
      <c r="R170" s="61"/>
      <c r="T170" s="61"/>
      <c r="V170" s="61"/>
      <c r="X170" s="61"/>
      <c r="Z170" s="61"/>
    </row>
    <row r="171" spans="6:26" x14ac:dyDescent="0.25">
      <c r="F171" s="61"/>
      <c r="H171" s="61"/>
      <c r="J171" s="61"/>
      <c r="L171" s="61"/>
      <c r="N171" s="61"/>
      <c r="P171" s="61"/>
      <c r="R171" s="61"/>
      <c r="T171" s="61"/>
      <c r="V171" s="61"/>
      <c r="X171" s="61"/>
      <c r="Z171" s="61"/>
    </row>
    <row r="172" spans="6:26" x14ac:dyDescent="0.25">
      <c r="F172" s="61"/>
      <c r="H172" s="61"/>
      <c r="J172" s="61"/>
      <c r="L172" s="61"/>
      <c r="N172" s="61"/>
      <c r="P172" s="61"/>
      <c r="R172" s="61"/>
      <c r="T172" s="61"/>
      <c r="V172" s="61"/>
      <c r="X172" s="61"/>
      <c r="Z172" s="61"/>
    </row>
    <row r="173" spans="6:26" x14ac:dyDescent="0.25">
      <c r="F173" s="61"/>
      <c r="H173" s="61"/>
      <c r="J173" s="61"/>
      <c r="L173" s="61"/>
      <c r="N173" s="61"/>
      <c r="P173" s="61"/>
      <c r="R173" s="61"/>
      <c r="T173" s="61"/>
      <c r="V173" s="61"/>
      <c r="X173" s="61"/>
      <c r="Z173" s="61"/>
    </row>
    <row r="174" spans="6:26" x14ac:dyDescent="0.25">
      <c r="F174" s="61"/>
      <c r="H174" s="61"/>
      <c r="J174" s="61"/>
      <c r="L174" s="61"/>
      <c r="N174" s="61"/>
      <c r="P174" s="61"/>
      <c r="R174" s="61"/>
      <c r="T174" s="61"/>
      <c r="V174" s="61"/>
      <c r="X174" s="61"/>
      <c r="Z174" s="61"/>
    </row>
    <row r="175" spans="6:26" x14ac:dyDescent="0.25">
      <c r="F175" s="61"/>
      <c r="H175" s="61"/>
      <c r="J175" s="61"/>
      <c r="L175" s="61"/>
      <c r="N175" s="61"/>
      <c r="P175" s="61"/>
      <c r="R175" s="61"/>
      <c r="T175" s="61"/>
      <c r="V175" s="61"/>
      <c r="X175" s="61"/>
      <c r="Z175" s="61"/>
    </row>
    <row r="176" spans="6:26" x14ac:dyDescent="0.25">
      <c r="F176" s="61"/>
      <c r="H176" s="61"/>
      <c r="J176" s="61"/>
      <c r="L176" s="61"/>
      <c r="N176" s="61"/>
      <c r="P176" s="61"/>
      <c r="R176" s="61"/>
      <c r="T176" s="61"/>
      <c r="V176" s="61"/>
      <c r="X176" s="61"/>
      <c r="Z176" s="61"/>
    </row>
    <row r="177" spans="6:26" x14ac:dyDescent="0.25">
      <c r="F177" s="61"/>
      <c r="H177" s="61"/>
      <c r="J177" s="61"/>
      <c r="L177" s="61"/>
      <c r="N177" s="61"/>
      <c r="P177" s="61"/>
      <c r="R177" s="61"/>
      <c r="T177" s="61"/>
      <c r="V177" s="61"/>
      <c r="X177" s="61"/>
      <c r="Z177" s="61"/>
    </row>
    <row r="178" spans="6:26" x14ac:dyDescent="0.25">
      <c r="F178" s="61"/>
      <c r="H178" s="61"/>
      <c r="J178" s="61"/>
      <c r="L178" s="61"/>
      <c r="N178" s="61"/>
      <c r="P178" s="61"/>
      <c r="R178" s="61"/>
      <c r="T178" s="61"/>
      <c r="V178" s="61"/>
      <c r="X178" s="61"/>
      <c r="Z178" s="61"/>
    </row>
    <row r="179" spans="6:26" x14ac:dyDescent="0.25">
      <c r="F179" s="61"/>
      <c r="H179" s="61"/>
      <c r="J179" s="61"/>
      <c r="L179" s="61"/>
      <c r="N179" s="61"/>
      <c r="P179" s="61"/>
      <c r="R179" s="61"/>
      <c r="T179" s="61"/>
      <c r="V179" s="61"/>
      <c r="X179" s="61"/>
      <c r="Z179" s="61"/>
    </row>
    <row r="180" spans="6:26" x14ac:dyDescent="0.25">
      <c r="F180" s="61"/>
      <c r="H180" s="61"/>
      <c r="J180" s="61"/>
      <c r="L180" s="61"/>
      <c r="N180" s="61"/>
      <c r="P180" s="61"/>
      <c r="R180" s="61"/>
      <c r="T180" s="61"/>
      <c r="V180" s="61"/>
      <c r="X180" s="61"/>
      <c r="Z180" s="61"/>
    </row>
    <row r="181" spans="6:26" x14ac:dyDescent="0.25">
      <c r="F181" s="61"/>
      <c r="H181" s="61"/>
      <c r="J181" s="61"/>
      <c r="L181" s="61"/>
      <c r="N181" s="61"/>
      <c r="P181" s="61"/>
      <c r="R181" s="61"/>
      <c r="T181" s="61"/>
      <c r="V181" s="61"/>
      <c r="X181" s="61"/>
      <c r="Z181" s="61"/>
    </row>
    <row r="182" spans="6:26" x14ac:dyDescent="0.25">
      <c r="F182" s="61"/>
      <c r="H182" s="61"/>
      <c r="J182" s="61"/>
      <c r="L182" s="61"/>
      <c r="N182" s="61"/>
      <c r="P182" s="61"/>
      <c r="R182" s="61"/>
      <c r="T182" s="61"/>
      <c r="V182" s="61"/>
      <c r="X182" s="61"/>
      <c r="Z182" s="61"/>
    </row>
    <row r="183" spans="6:26" x14ac:dyDescent="0.25">
      <c r="F183" s="61"/>
      <c r="H183" s="61"/>
      <c r="J183" s="61"/>
      <c r="L183" s="61"/>
      <c r="N183" s="61"/>
      <c r="P183" s="61"/>
      <c r="R183" s="61"/>
      <c r="T183" s="61"/>
      <c r="V183" s="61"/>
      <c r="X183" s="61"/>
      <c r="Z183" s="61"/>
    </row>
    <row r="184" spans="6:26" x14ac:dyDescent="0.25">
      <c r="F184" s="61"/>
      <c r="H184" s="61"/>
      <c r="J184" s="61"/>
      <c r="L184" s="61"/>
      <c r="N184" s="61"/>
      <c r="P184" s="61"/>
      <c r="R184" s="61"/>
      <c r="T184" s="61"/>
      <c r="V184" s="61"/>
      <c r="X184" s="61"/>
      <c r="Z184" s="61"/>
    </row>
    <row r="185" spans="6:26" x14ac:dyDescent="0.25">
      <c r="F185" s="61"/>
      <c r="H185" s="61"/>
      <c r="J185" s="61"/>
      <c r="L185" s="61"/>
      <c r="N185" s="61"/>
      <c r="P185" s="61"/>
      <c r="R185" s="61"/>
      <c r="T185" s="61"/>
      <c r="V185" s="61"/>
      <c r="X185" s="61"/>
      <c r="Z185" s="61"/>
    </row>
    <row r="186" spans="6:26" x14ac:dyDescent="0.25">
      <c r="F186" s="61"/>
      <c r="H186" s="61"/>
      <c r="J186" s="61"/>
      <c r="L186" s="61"/>
      <c r="N186" s="61"/>
      <c r="P186" s="61"/>
      <c r="R186" s="61"/>
      <c r="T186" s="61"/>
      <c r="V186" s="61"/>
      <c r="X186" s="61"/>
      <c r="Z186" s="61"/>
    </row>
    <row r="187" spans="6:26" x14ac:dyDescent="0.25">
      <c r="F187" s="61"/>
      <c r="H187" s="61"/>
      <c r="J187" s="61"/>
      <c r="L187" s="61"/>
      <c r="N187" s="61"/>
      <c r="P187" s="61"/>
      <c r="R187" s="61"/>
      <c r="T187" s="61"/>
      <c r="V187" s="61"/>
      <c r="X187" s="61"/>
      <c r="Z187" s="61"/>
    </row>
    <row r="188" spans="6:26" x14ac:dyDescent="0.25">
      <c r="F188" s="61"/>
      <c r="H188" s="61"/>
      <c r="J188" s="61"/>
      <c r="L188" s="61"/>
      <c r="N188" s="61"/>
      <c r="P188" s="61"/>
      <c r="R188" s="61"/>
      <c r="T188" s="61"/>
      <c r="V188" s="61"/>
      <c r="X188" s="61"/>
      <c r="Z188" s="61"/>
    </row>
    <row r="189" spans="6:26" x14ac:dyDescent="0.25">
      <c r="F189" s="61"/>
      <c r="H189" s="61"/>
      <c r="J189" s="61"/>
      <c r="L189" s="61"/>
      <c r="N189" s="61"/>
      <c r="P189" s="61"/>
      <c r="R189" s="61"/>
      <c r="T189" s="61"/>
      <c r="V189" s="61"/>
      <c r="X189" s="61"/>
      <c r="Z189" s="61"/>
    </row>
    <row r="190" spans="6:26" x14ac:dyDescent="0.25">
      <c r="F190" s="61"/>
      <c r="H190" s="61"/>
      <c r="J190" s="61"/>
      <c r="L190" s="61"/>
      <c r="N190" s="61"/>
      <c r="P190" s="61"/>
      <c r="R190" s="61"/>
      <c r="T190" s="61"/>
      <c r="V190" s="61"/>
      <c r="X190" s="61"/>
      <c r="Z190" s="61"/>
    </row>
    <row r="191" spans="6:26" x14ac:dyDescent="0.25">
      <c r="F191" s="61"/>
      <c r="H191" s="61"/>
      <c r="J191" s="61"/>
      <c r="L191" s="61"/>
      <c r="N191" s="61"/>
      <c r="P191" s="61"/>
      <c r="R191" s="61"/>
      <c r="T191" s="61"/>
      <c r="V191" s="61"/>
      <c r="X191" s="61"/>
      <c r="Z191" s="61"/>
    </row>
    <row r="192" spans="6:26" x14ac:dyDescent="0.25">
      <c r="F192" s="61"/>
      <c r="H192" s="61"/>
      <c r="J192" s="61"/>
      <c r="L192" s="61"/>
      <c r="N192" s="61"/>
      <c r="P192" s="61"/>
      <c r="R192" s="61"/>
      <c r="T192" s="61"/>
      <c r="V192" s="61"/>
      <c r="X192" s="61"/>
      <c r="Z192" s="61"/>
    </row>
    <row r="193" spans="6:26" x14ac:dyDescent="0.25">
      <c r="F193" s="61"/>
      <c r="H193" s="61"/>
      <c r="J193" s="61"/>
      <c r="L193" s="61"/>
      <c r="N193" s="61"/>
      <c r="P193" s="61"/>
      <c r="R193" s="61"/>
      <c r="T193" s="61"/>
      <c r="V193" s="61"/>
      <c r="X193" s="61"/>
      <c r="Z193" s="61"/>
    </row>
    <row r="194" spans="6:26" x14ac:dyDescent="0.25">
      <c r="F194" s="61"/>
      <c r="H194" s="61"/>
      <c r="J194" s="61"/>
      <c r="L194" s="61"/>
      <c r="N194" s="61"/>
      <c r="P194" s="61"/>
      <c r="R194" s="61"/>
      <c r="T194" s="61"/>
      <c r="V194" s="61"/>
      <c r="X194" s="61"/>
      <c r="Z194" s="61"/>
    </row>
    <row r="195" spans="6:26" x14ac:dyDescent="0.25">
      <c r="F195" s="61"/>
      <c r="H195" s="61"/>
      <c r="J195" s="61"/>
      <c r="L195" s="61"/>
      <c r="N195" s="61"/>
      <c r="P195" s="61"/>
      <c r="R195" s="61"/>
      <c r="T195" s="61"/>
      <c r="V195" s="61"/>
      <c r="X195" s="61"/>
      <c r="Z195" s="61"/>
    </row>
    <row r="196" spans="6:26" x14ac:dyDescent="0.25">
      <c r="F196" s="61"/>
      <c r="H196" s="61"/>
      <c r="J196" s="61"/>
      <c r="L196" s="61"/>
      <c r="N196" s="61"/>
      <c r="P196" s="61"/>
      <c r="R196" s="61"/>
      <c r="T196" s="61"/>
      <c r="V196" s="61"/>
      <c r="X196" s="61"/>
      <c r="Z196" s="61"/>
    </row>
    <row r="197" spans="6:26" x14ac:dyDescent="0.25">
      <c r="F197" s="61"/>
      <c r="H197" s="61"/>
      <c r="J197" s="61"/>
      <c r="L197" s="61"/>
      <c r="N197" s="61"/>
      <c r="P197" s="61"/>
      <c r="R197" s="61"/>
      <c r="T197" s="61"/>
      <c r="V197" s="61"/>
      <c r="X197" s="61"/>
      <c r="Z197" s="61"/>
    </row>
    <row r="198" spans="6:26" x14ac:dyDescent="0.25">
      <c r="F198" s="61"/>
      <c r="H198" s="61"/>
      <c r="J198" s="61"/>
      <c r="L198" s="61"/>
      <c r="N198" s="61"/>
      <c r="P198" s="61"/>
      <c r="R198" s="61"/>
      <c r="T198" s="61"/>
      <c r="V198" s="61"/>
      <c r="X198" s="61"/>
      <c r="Z198" s="61"/>
    </row>
    <row r="199" spans="6:26" x14ac:dyDescent="0.25">
      <c r="F199" s="61"/>
      <c r="H199" s="61"/>
      <c r="J199" s="61"/>
      <c r="L199" s="61"/>
      <c r="N199" s="61"/>
      <c r="P199" s="61"/>
      <c r="R199" s="61"/>
      <c r="T199" s="61"/>
      <c r="V199" s="61"/>
      <c r="X199" s="61"/>
      <c r="Z199" s="61"/>
    </row>
    <row r="200" spans="6:26" x14ac:dyDescent="0.25">
      <c r="F200" s="61"/>
      <c r="H200" s="61"/>
      <c r="J200" s="61"/>
      <c r="L200" s="61"/>
      <c r="N200" s="61"/>
      <c r="P200" s="61"/>
      <c r="R200" s="61"/>
      <c r="T200" s="61"/>
      <c r="V200" s="61"/>
      <c r="X200" s="61"/>
      <c r="Z200" s="61"/>
    </row>
    <row r="201" spans="6:26" x14ac:dyDescent="0.25">
      <c r="F201" s="61"/>
      <c r="H201" s="61"/>
      <c r="J201" s="61"/>
      <c r="L201" s="61"/>
      <c r="N201" s="61"/>
      <c r="P201" s="61"/>
      <c r="R201" s="61"/>
      <c r="T201" s="61"/>
      <c r="V201" s="61"/>
      <c r="X201" s="61"/>
      <c r="Z201" s="61"/>
    </row>
    <row r="202" spans="6:26" x14ac:dyDescent="0.25">
      <c r="F202" s="61"/>
      <c r="H202" s="61"/>
      <c r="J202" s="61"/>
      <c r="L202" s="61"/>
      <c r="N202" s="61"/>
      <c r="P202" s="61"/>
      <c r="R202" s="61"/>
      <c r="T202" s="61"/>
      <c r="V202" s="61"/>
      <c r="X202" s="61"/>
      <c r="Z202" s="61"/>
    </row>
    <row r="203" spans="6:26" x14ac:dyDescent="0.25">
      <c r="F203" s="61"/>
      <c r="H203" s="61"/>
      <c r="J203" s="61"/>
      <c r="L203" s="61"/>
      <c r="N203" s="61"/>
      <c r="P203" s="61"/>
      <c r="R203" s="61"/>
      <c r="T203" s="61"/>
      <c r="V203" s="61"/>
      <c r="X203" s="61"/>
      <c r="Z203" s="61"/>
    </row>
    <row r="204" spans="6:26" x14ac:dyDescent="0.25">
      <c r="F204" s="61"/>
      <c r="H204" s="61"/>
      <c r="J204" s="61"/>
      <c r="L204" s="61"/>
      <c r="N204" s="61"/>
      <c r="P204" s="61"/>
      <c r="R204" s="61"/>
      <c r="T204" s="61"/>
      <c r="V204" s="61"/>
      <c r="X204" s="61"/>
      <c r="Z204" s="61"/>
    </row>
    <row r="205" spans="6:26" x14ac:dyDescent="0.25">
      <c r="F205" s="61"/>
      <c r="H205" s="61"/>
      <c r="J205" s="61"/>
      <c r="L205" s="61"/>
      <c r="N205" s="61"/>
      <c r="P205" s="61"/>
      <c r="R205" s="61"/>
      <c r="T205" s="61"/>
      <c r="V205" s="61"/>
      <c r="X205" s="61"/>
      <c r="Z205" s="61"/>
    </row>
    <row r="206" spans="6:26" x14ac:dyDescent="0.25">
      <c r="F206" s="61"/>
      <c r="H206" s="61"/>
      <c r="J206" s="61"/>
      <c r="L206" s="61"/>
      <c r="N206" s="61"/>
      <c r="P206" s="61"/>
      <c r="R206" s="61"/>
      <c r="T206" s="61"/>
      <c r="V206" s="61"/>
      <c r="X206" s="61"/>
      <c r="Z206" s="61"/>
    </row>
    <row r="207" spans="6:26" x14ac:dyDescent="0.25">
      <c r="F207" s="61"/>
      <c r="H207" s="61"/>
      <c r="J207" s="61"/>
      <c r="L207" s="61"/>
      <c r="N207" s="61"/>
      <c r="P207" s="61"/>
      <c r="R207" s="61"/>
      <c r="T207" s="61"/>
      <c r="V207" s="61"/>
      <c r="X207" s="61"/>
      <c r="Z207" s="61"/>
    </row>
    <row r="208" spans="6:26" x14ac:dyDescent="0.25">
      <c r="F208" s="61"/>
      <c r="H208" s="61"/>
      <c r="J208" s="61"/>
      <c r="L208" s="61"/>
      <c r="N208" s="61"/>
      <c r="P208" s="61"/>
      <c r="R208" s="61"/>
      <c r="T208" s="61"/>
      <c r="V208" s="61"/>
      <c r="X208" s="61"/>
      <c r="Z208" s="61"/>
    </row>
    <row r="209" spans="6:26" x14ac:dyDescent="0.25">
      <c r="F209" s="61"/>
      <c r="H209" s="61"/>
      <c r="J209" s="61"/>
      <c r="L209" s="61"/>
      <c r="N209" s="61"/>
      <c r="P209" s="61"/>
      <c r="R209" s="61"/>
      <c r="T209" s="61"/>
      <c r="V209" s="61"/>
      <c r="X209" s="61"/>
      <c r="Z209" s="61"/>
    </row>
    <row r="210" spans="6:26" x14ac:dyDescent="0.25">
      <c r="F210" s="61"/>
      <c r="H210" s="61"/>
      <c r="J210" s="61"/>
      <c r="L210" s="61"/>
      <c r="N210" s="61"/>
      <c r="P210" s="61"/>
      <c r="R210" s="61"/>
      <c r="T210" s="61"/>
      <c r="V210" s="61"/>
      <c r="X210" s="61"/>
      <c r="Z210" s="61"/>
    </row>
    <row r="211" spans="6:26" x14ac:dyDescent="0.25">
      <c r="F211" s="61"/>
      <c r="H211" s="61"/>
      <c r="J211" s="61"/>
      <c r="L211" s="61"/>
      <c r="N211" s="61"/>
      <c r="P211" s="61"/>
      <c r="R211" s="61"/>
      <c r="T211" s="61"/>
      <c r="V211" s="61"/>
      <c r="X211" s="61"/>
      <c r="Z211" s="61"/>
    </row>
    <row r="212" spans="6:26" x14ac:dyDescent="0.25">
      <c r="F212" s="61"/>
      <c r="H212" s="61"/>
      <c r="J212" s="61"/>
      <c r="L212" s="61"/>
      <c r="N212" s="61"/>
      <c r="P212" s="61"/>
      <c r="R212" s="61"/>
      <c r="T212" s="61"/>
      <c r="V212" s="61"/>
      <c r="X212" s="61"/>
      <c r="Z212" s="61"/>
    </row>
    <row r="213" spans="6:26" x14ac:dyDescent="0.25">
      <c r="F213" s="61"/>
      <c r="H213" s="61"/>
      <c r="J213" s="61"/>
      <c r="L213" s="61"/>
      <c r="N213" s="61"/>
      <c r="P213" s="61"/>
      <c r="R213" s="61"/>
      <c r="T213" s="61"/>
      <c r="V213" s="61"/>
      <c r="X213" s="61"/>
      <c r="Z213" s="61"/>
    </row>
    <row r="214" spans="6:26" x14ac:dyDescent="0.25">
      <c r="F214" s="61"/>
      <c r="H214" s="61"/>
      <c r="J214" s="61"/>
      <c r="L214" s="61"/>
      <c r="N214" s="61"/>
      <c r="P214" s="61"/>
      <c r="R214" s="61"/>
      <c r="T214" s="61"/>
      <c r="V214" s="61"/>
      <c r="X214" s="61"/>
      <c r="Z214" s="61"/>
    </row>
    <row r="215" spans="6:26" x14ac:dyDescent="0.25">
      <c r="F215" s="61"/>
      <c r="H215" s="61"/>
      <c r="J215" s="61"/>
      <c r="L215" s="61"/>
      <c r="N215" s="61"/>
      <c r="P215" s="61"/>
      <c r="R215" s="61"/>
      <c r="T215" s="61"/>
      <c r="V215" s="61"/>
      <c r="X215" s="61"/>
      <c r="Z215" s="61"/>
    </row>
    <row r="216" spans="6:26" x14ac:dyDescent="0.25">
      <c r="F216" s="61"/>
      <c r="H216" s="61"/>
      <c r="J216" s="61"/>
      <c r="L216" s="61"/>
      <c r="N216" s="61"/>
      <c r="P216" s="61"/>
      <c r="R216" s="61"/>
      <c r="T216" s="61"/>
      <c r="V216" s="61"/>
      <c r="X216" s="61"/>
      <c r="Z216" s="61"/>
    </row>
    <row r="217" spans="6:26" x14ac:dyDescent="0.25">
      <c r="F217" s="61"/>
      <c r="H217" s="61"/>
      <c r="J217" s="61"/>
      <c r="L217" s="61"/>
      <c r="N217" s="61"/>
      <c r="P217" s="61"/>
      <c r="R217" s="61"/>
      <c r="T217" s="61"/>
      <c r="V217" s="61"/>
      <c r="X217" s="61"/>
      <c r="Z217" s="61"/>
    </row>
    <row r="218" spans="6:26" x14ac:dyDescent="0.25">
      <c r="F218" s="61"/>
      <c r="H218" s="61"/>
      <c r="J218" s="61"/>
      <c r="L218" s="61"/>
      <c r="N218" s="61"/>
      <c r="P218" s="61"/>
      <c r="R218" s="61"/>
      <c r="T218" s="61"/>
      <c r="V218" s="61"/>
      <c r="X218" s="61"/>
      <c r="Z218" s="61"/>
    </row>
    <row r="219" spans="6:26" x14ac:dyDescent="0.25">
      <c r="F219" s="61"/>
      <c r="H219" s="61"/>
      <c r="J219" s="61"/>
      <c r="L219" s="61"/>
      <c r="N219" s="61"/>
      <c r="P219" s="61"/>
      <c r="R219" s="61"/>
      <c r="T219" s="61"/>
      <c r="V219" s="61"/>
      <c r="X219" s="61"/>
      <c r="Z219" s="61"/>
    </row>
    <row r="220" spans="6:26" x14ac:dyDescent="0.25">
      <c r="F220" s="61"/>
      <c r="H220" s="61"/>
      <c r="J220" s="61"/>
      <c r="L220" s="61"/>
      <c r="N220" s="61"/>
      <c r="P220" s="61"/>
      <c r="R220" s="61"/>
      <c r="T220" s="61"/>
      <c r="V220" s="61"/>
      <c r="X220" s="61"/>
      <c r="Z220" s="61"/>
    </row>
    <row r="221" spans="6:26" x14ac:dyDescent="0.25">
      <c r="F221" s="61"/>
      <c r="H221" s="61"/>
      <c r="J221" s="61"/>
      <c r="L221" s="61"/>
      <c r="N221" s="61"/>
      <c r="P221" s="61"/>
      <c r="R221" s="61"/>
      <c r="T221" s="61"/>
      <c r="V221" s="61"/>
      <c r="X221" s="61"/>
      <c r="Z221" s="61"/>
    </row>
    <row r="222" spans="6:26" x14ac:dyDescent="0.25">
      <c r="F222" s="61"/>
      <c r="H222" s="61"/>
      <c r="J222" s="61"/>
      <c r="L222" s="61"/>
      <c r="N222" s="61"/>
      <c r="P222" s="61"/>
      <c r="R222" s="61"/>
      <c r="T222" s="61"/>
      <c r="V222" s="61"/>
      <c r="X222" s="61"/>
      <c r="Z222" s="61"/>
    </row>
    <row r="223" spans="6:26" x14ac:dyDescent="0.25">
      <c r="F223" s="61"/>
      <c r="H223" s="61"/>
      <c r="J223" s="61"/>
      <c r="L223" s="61"/>
      <c r="N223" s="61"/>
      <c r="P223" s="61"/>
      <c r="R223" s="61"/>
      <c r="T223" s="61"/>
      <c r="V223" s="61"/>
      <c r="X223" s="61"/>
      <c r="Z223" s="61"/>
    </row>
    <row r="224" spans="6:26" x14ac:dyDescent="0.25">
      <c r="F224" s="61"/>
      <c r="H224" s="61"/>
      <c r="J224" s="61"/>
      <c r="L224" s="61"/>
      <c r="N224" s="61"/>
      <c r="P224" s="61"/>
      <c r="R224" s="61"/>
      <c r="T224" s="61"/>
      <c r="V224" s="61"/>
      <c r="X224" s="61"/>
      <c r="Z224" s="61"/>
    </row>
    <row r="225" spans="6:26" x14ac:dyDescent="0.25">
      <c r="F225" s="61"/>
      <c r="H225" s="61"/>
      <c r="J225" s="61"/>
      <c r="L225" s="61"/>
      <c r="N225" s="61"/>
      <c r="P225" s="61"/>
      <c r="R225" s="61"/>
      <c r="T225" s="61"/>
      <c r="V225" s="61"/>
      <c r="X225" s="61"/>
      <c r="Z225" s="61"/>
    </row>
    <row r="226" spans="6:26" x14ac:dyDescent="0.25">
      <c r="F226" s="61"/>
      <c r="H226" s="61"/>
      <c r="J226" s="61"/>
      <c r="L226" s="61"/>
      <c r="N226" s="61"/>
      <c r="P226" s="61"/>
      <c r="R226" s="61"/>
      <c r="T226" s="61"/>
      <c r="V226" s="61"/>
      <c r="X226" s="61"/>
      <c r="Z226" s="61"/>
    </row>
    <row r="227" spans="6:26" x14ac:dyDescent="0.25">
      <c r="F227" s="61"/>
      <c r="H227" s="61"/>
      <c r="J227" s="61"/>
      <c r="L227" s="61"/>
      <c r="N227" s="61"/>
      <c r="P227" s="61"/>
      <c r="R227" s="61"/>
      <c r="T227" s="61"/>
      <c r="V227" s="61"/>
      <c r="X227" s="61"/>
      <c r="Z227" s="61"/>
    </row>
    <row r="228" spans="6:26" x14ac:dyDescent="0.25">
      <c r="F228" s="61"/>
      <c r="H228" s="61"/>
      <c r="J228" s="61"/>
      <c r="L228" s="61"/>
      <c r="N228" s="61"/>
      <c r="P228" s="61"/>
      <c r="R228" s="61"/>
      <c r="T228" s="61"/>
      <c r="V228" s="61"/>
      <c r="X228" s="61"/>
      <c r="Z228" s="61"/>
    </row>
    <row r="229" spans="6:26" x14ac:dyDescent="0.25">
      <c r="F229" s="61"/>
      <c r="H229" s="61"/>
      <c r="J229" s="61"/>
      <c r="L229" s="61"/>
      <c r="N229" s="61"/>
      <c r="P229" s="61"/>
      <c r="R229" s="61"/>
      <c r="T229" s="61"/>
      <c r="V229" s="61"/>
      <c r="X229" s="61"/>
      <c r="Z229" s="61"/>
    </row>
    <row r="230" spans="6:26" x14ac:dyDescent="0.25">
      <c r="F230" s="61"/>
      <c r="H230" s="61"/>
      <c r="J230" s="61"/>
      <c r="L230" s="61"/>
      <c r="N230" s="61"/>
      <c r="P230" s="61"/>
      <c r="R230" s="61"/>
      <c r="T230" s="61"/>
      <c r="V230" s="61"/>
      <c r="X230" s="61"/>
      <c r="Z230" s="61"/>
    </row>
    <row r="231" spans="6:26" x14ac:dyDescent="0.25">
      <c r="F231" s="61"/>
      <c r="H231" s="61"/>
      <c r="J231" s="61"/>
      <c r="L231" s="61"/>
      <c r="N231" s="61"/>
      <c r="P231" s="61"/>
      <c r="R231" s="61"/>
      <c r="T231" s="61"/>
      <c r="V231" s="61"/>
      <c r="X231" s="61"/>
      <c r="Z231" s="61"/>
    </row>
    <row r="232" spans="6:26" x14ac:dyDescent="0.25">
      <c r="F232" s="61"/>
      <c r="H232" s="61"/>
      <c r="J232" s="61"/>
      <c r="L232" s="61"/>
      <c r="N232" s="61"/>
      <c r="P232" s="61"/>
      <c r="R232" s="61"/>
      <c r="T232" s="61"/>
      <c r="V232" s="61"/>
      <c r="X232" s="61"/>
      <c r="Z232" s="61"/>
    </row>
    <row r="233" spans="6:26" x14ac:dyDescent="0.25">
      <c r="F233" s="61"/>
      <c r="H233" s="61"/>
      <c r="J233" s="61"/>
      <c r="L233" s="61"/>
      <c r="N233" s="61"/>
      <c r="P233" s="61"/>
      <c r="R233" s="61"/>
      <c r="T233" s="61"/>
      <c r="V233" s="61"/>
      <c r="X233" s="61"/>
      <c r="Z233" s="61"/>
    </row>
    <row r="234" spans="6:26" x14ac:dyDescent="0.25">
      <c r="F234" s="61"/>
      <c r="H234" s="61"/>
      <c r="J234" s="61"/>
      <c r="L234" s="61"/>
      <c r="N234" s="61"/>
      <c r="P234" s="61"/>
      <c r="R234" s="61"/>
      <c r="T234" s="61"/>
      <c r="V234" s="61"/>
      <c r="X234" s="61"/>
      <c r="Z234" s="61"/>
    </row>
    <row r="235" spans="6:26" x14ac:dyDescent="0.25">
      <c r="F235" s="61"/>
      <c r="H235" s="61"/>
      <c r="J235" s="61"/>
      <c r="L235" s="61"/>
      <c r="N235" s="61"/>
      <c r="P235" s="61"/>
      <c r="R235" s="61"/>
      <c r="T235" s="61"/>
      <c r="V235" s="61"/>
      <c r="X235" s="61"/>
      <c r="Z235" s="61"/>
    </row>
    <row r="236" spans="6:26" x14ac:dyDescent="0.25">
      <c r="F236" s="61"/>
      <c r="H236" s="61"/>
      <c r="J236" s="61"/>
      <c r="L236" s="61"/>
      <c r="N236" s="61"/>
      <c r="P236" s="61"/>
      <c r="R236" s="61"/>
      <c r="T236" s="61"/>
      <c r="V236" s="61"/>
      <c r="X236" s="61"/>
      <c r="Z236" s="61"/>
    </row>
    <row r="237" spans="6:26" x14ac:dyDescent="0.25">
      <c r="F237" s="61"/>
      <c r="H237" s="61"/>
      <c r="J237" s="61"/>
      <c r="L237" s="61"/>
      <c r="N237" s="61"/>
      <c r="P237" s="61"/>
      <c r="R237" s="61"/>
      <c r="T237" s="61"/>
      <c r="V237" s="61"/>
      <c r="X237" s="61"/>
      <c r="Z237" s="61"/>
    </row>
    <row r="238" spans="6:26" x14ac:dyDescent="0.25">
      <c r="F238" s="61"/>
      <c r="H238" s="61"/>
      <c r="J238" s="61"/>
      <c r="L238" s="61"/>
      <c r="N238" s="61"/>
      <c r="P238" s="61"/>
      <c r="R238" s="61"/>
      <c r="T238" s="61"/>
      <c r="V238" s="61"/>
      <c r="X238" s="61"/>
      <c r="Z238" s="61"/>
    </row>
    <row r="239" spans="6:26" x14ac:dyDescent="0.25">
      <c r="F239" s="61"/>
      <c r="H239" s="61"/>
      <c r="J239" s="61"/>
      <c r="L239" s="61"/>
      <c r="N239" s="61"/>
      <c r="P239" s="61"/>
      <c r="R239" s="61"/>
      <c r="T239" s="61"/>
      <c r="V239" s="61"/>
      <c r="X239" s="61"/>
      <c r="Z239" s="61"/>
    </row>
    <row r="240" spans="6:26" x14ac:dyDescent="0.25">
      <c r="F240" s="61"/>
      <c r="H240" s="61"/>
      <c r="J240" s="61"/>
      <c r="L240" s="61"/>
      <c r="N240" s="61"/>
      <c r="P240" s="61"/>
      <c r="R240" s="61"/>
      <c r="T240" s="61"/>
      <c r="V240" s="61"/>
      <c r="X240" s="61"/>
      <c r="Z240" s="61"/>
    </row>
    <row r="241" spans="6:26" x14ac:dyDescent="0.25">
      <c r="F241" s="61"/>
      <c r="H241" s="61"/>
      <c r="J241" s="61"/>
      <c r="L241" s="61"/>
      <c r="N241" s="61"/>
      <c r="P241" s="61"/>
      <c r="R241" s="61"/>
      <c r="T241" s="61"/>
      <c r="V241" s="61"/>
      <c r="X241" s="61"/>
      <c r="Z241" s="61"/>
    </row>
    <row r="242" spans="6:26" x14ac:dyDescent="0.25">
      <c r="F242" s="61"/>
      <c r="H242" s="61"/>
      <c r="J242" s="61"/>
      <c r="L242" s="61"/>
      <c r="N242" s="61"/>
      <c r="P242" s="61"/>
      <c r="R242" s="61"/>
      <c r="T242" s="61"/>
      <c r="V242" s="61"/>
      <c r="X242" s="61"/>
      <c r="Z242" s="61"/>
    </row>
    <row r="243" spans="6:26" x14ac:dyDescent="0.25">
      <c r="F243" s="61"/>
      <c r="H243" s="61"/>
      <c r="J243" s="61"/>
      <c r="L243" s="61"/>
      <c r="N243" s="61"/>
      <c r="P243" s="61"/>
      <c r="R243" s="61"/>
      <c r="T243" s="61"/>
      <c r="V243" s="61"/>
      <c r="X243" s="61"/>
      <c r="Z243" s="61"/>
    </row>
    <row r="244" spans="6:26" x14ac:dyDescent="0.25">
      <c r="F244" s="61"/>
      <c r="H244" s="61"/>
      <c r="J244" s="61"/>
      <c r="L244" s="61"/>
      <c r="N244" s="61"/>
      <c r="P244" s="61"/>
      <c r="R244" s="61"/>
      <c r="T244" s="61"/>
      <c r="V244" s="61"/>
      <c r="X244" s="61"/>
      <c r="Z244" s="61"/>
    </row>
    <row r="245" spans="6:26" x14ac:dyDescent="0.25">
      <c r="F245" s="61"/>
      <c r="H245" s="61"/>
      <c r="J245" s="61"/>
      <c r="L245" s="61"/>
      <c r="N245" s="61"/>
      <c r="P245" s="61"/>
      <c r="R245" s="61"/>
      <c r="T245" s="61"/>
      <c r="V245" s="61"/>
      <c r="X245" s="61"/>
      <c r="Z245" s="61"/>
    </row>
    <row r="246" spans="6:26" x14ac:dyDescent="0.25">
      <c r="F246" s="61"/>
      <c r="H246" s="61"/>
      <c r="J246" s="61"/>
      <c r="L246" s="61"/>
      <c r="N246" s="61"/>
      <c r="P246" s="61"/>
      <c r="R246" s="61"/>
      <c r="T246" s="61"/>
      <c r="V246" s="61"/>
      <c r="X246" s="61"/>
      <c r="Z246" s="61"/>
    </row>
    <row r="247" spans="6:26" x14ac:dyDescent="0.25">
      <c r="F247" s="61"/>
      <c r="H247" s="61"/>
      <c r="J247" s="61"/>
      <c r="L247" s="61"/>
      <c r="N247" s="61"/>
      <c r="P247" s="61"/>
      <c r="R247" s="61"/>
      <c r="T247" s="61"/>
      <c r="V247" s="61"/>
      <c r="X247" s="61"/>
      <c r="Z247" s="61"/>
    </row>
    <row r="248" spans="6:26" x14ac:dyDescent="0.25">
      <c r="F248" s="61"/>
      <c r="H248" s="61"/>
      <c r="J248" s="61"/>
      <c r="L248" s="61"/>
      <c r="N248" s="61"/>
      <c r="P248" s="61"/>
      <c r="R248" s="61"/>
      <c r="T248" s="61"/>
      <c r="V248" s="61"/>
      <c r="X248" s="61"/>
      <c r="Z248" s="61"/>
    </row>
    <row r="249" spans="6:26" x14ac:dyDescent="0.25">
      <c r="F249" s="61"/>
      <c r="H249" s="61"/>
      <c r="J249" s="61"/>
      <c r="L249" s="61"/>
      <c r="N249" s="61"/>
      <c r="P249" s="61"/>
      <c r="R249" s="61"/>
      <c r="T249" s="61"/>
      <c r="V249" s="61"/>
      <c r="X249" s="61"/>
      <c r="Z249" s="61"/>
    </row>
    <row r="250" spans="6:26" x14ac:dyDescent="0.25">
      <c r="F250" s="61"/>
      <c r="H250" s="61"/>
      <c r="J250" s="61"/>
      <c r="L250" s="61"/>
      <c r="N250" s="61"/>
      <c r="P250" s="61"/>
      <c r="R250" s="61"/>
      <c r="T250" s="61"/>
      <c r="V250" s="61"/>
      <c r="X250" s="61"/>
      <c r="Z250" s="61"/>
    </row>
    <row r="251" spans="6:26" x14ac:dyDescent="0.25">
      <c r="F251" s="61"/>
      <c r="H251" s="61"/>
      <c r="J251" s="61"/>
      <c r="L251" s="61"/>
      <c r="N251" s="61"/>
      <c r="P251" s="61"/>
      <c r="R251" s="61"/>
      <c r="T251" s="61"/>
      <c r="V251" s="61"/>
      <c r="X251" s="61"/>
      <c r="Z251" s="61"/>
    </row>
    <row r="252" spans="6:26" x14ac:dyDescent="0.25">
      <c r="F252" s="61"/>
      <c r="H252" s="61"/>
      <c r="J252" s="61"/>
      <c r="L252" s="61"/>
      <c r="N252" s="61"/>
      <c r="P252" s="61"/>
      <c r="R252" s="61"/>
      <c r="T252" s="61"/>
      <c r="V252" s="61"/>
      <c r="X252" s="61"/>
      <c r="Z252" s="61"/>
    </row>
    <row r="253" spans="6:26" x14ac:dyDescent="0.25">
      <c r="F253" s="61"/>
      <c r="H253" s="61"/>
      <c r="J253" s="61"/>
      <c r="L253" s="61"/>
      <c r="N253" s="61"/>
      <c r="P253" s="61"/>
      <c r="R253" s="61"/>
      <c r="T253" s="61"/>
      <c r="V253" s="61"/>
      <c r="X253" s="61"/>
      <c r="Z253" s="61"/>
    </row>
    <row r="254" spans="6:26" x14ac:dyDescent="0.25">
      <c r="F254" s="61"/>
      <c r="H254" s="61"/>
      <c r="J254" s="61"/>
      <c r="L254" s="61"/>
      <c r="N254" s="61"/>
      <c r="P254" s="61"/>
      <c r="R254" s="61"/>
      <c r="T254" s="61"/>
      <c r="V254" s="61"/>
      <c r="X254" s="61"/>
      <c r="Z254" s="61"/>
    </row>
    <row r="255" spans="6:26" x14ac:dyDescent="0.25">
      <c r="F255" s="61"/>
      <c r="H255" s="61"/>
      <c r="J255" s="61"/>
      <c r="L255" s="61"/>
      <c r="N255" s="61"/>
      <c r="P255" s="61"/>
      <c r="R255" s="61"/>
      <c r="T255" s="61"/>
      <c r="V255" s="61"/>
      <c r="X255" s="61"/>
      <c r="Z255" s="61"/>
    </row>
    <row r="256" spans="6:26" x14ac:dyDescent="0.25">
      <c r="F256" s="61"/>
      <c r="H256" s="61"/>
      <c r="J256" s="61"/>
      <c r="L256" s="61"/>
      <c r="N256" s="61"/>
      <c r="P256" s="61"/>
      <c r="R256" s="61"/>
      <c r="T256" s="61"/>
      <c r="V256" s="61"/>
      <c r="X256" s="61"/>
      <c r="Z256" s="61"/>
    </row>
    <row r="257" spans="6:26" x14ac:dyDescent="0.25">
      <c r="F257" s="61"/>
      <c r="H257" s="61"/>
      <c r="J257" s="61"/>
      <c r="L257" s="61"/>
      <c r="N257" s="61"/>
      <c r="P257" s="61"/>
      <c r="R257" s="61"/>
      <c r="T257" s="61"/>
      <c r="V257" s="61"/>
      <c r="X257" s="61"/>
      <c r="Z257" s="61"/>
    </row>
    <row r="258" spans="6:26" x14ac:dyDescent="0.25">
      <c r="F258" s="61"/>
      <c r="H258" s="61"/>
      <c r="J258" s="61"/>
      <c r="L258" s="61"/>
      <c r="N258" s="61"/>
      <c r="P258" s="61"/>
      <c r="R258" s="61"/>
      <c r="T258" s="61"/>
      <c r="V258" s="61"/>
      <c r="X258" s="61"/>
      <c r="Z258" s="61"/>
    </row>
    <row r="259" spans="6:26" x14ac:dyDescent="0.25">
      <c r="F259" s="61"/>
      <c r="H259" s="61"/>
      <c r="J259" s="61"/>
      <c r="L259" s="61"/>
      <c r="N259" s="61"/>
      <c r="P259" s="61"/>
      <c r="R259" s="61"/>
      <c r="T259" s="61"/>
      <c r="V259" s="61"/>
      <c r="X259" s="61"/>
      <c r="Z259" s="61"/>
    </row>
    <row r="260" spans="6:26" x14ac:dyDescent="0.25">
      <c r="F260" s="61"/>
      <c r="H260" s="61"/>
      <c r="J260" s="61"/>
      <c r="L260" s="61"/>
      <c r="N260" s="61"/>
      <c r="P260" s="61"/>
      <c r="R260" s="61"/>
      <c r="T260" s="61"/>
      <c r="V260" s="61"/>
      <c r="X260" s="61"/>
      <c r="Z260" s="61"/>
    </row>
    <row r="261" spans="6:26" x14ac:dyDescent="0.25">
      <c r="F261" s="61"/>
      <c r="H261" s="61"/>
      <c r="J261" s="61"/>
      <c r="L261" s="61"/>
      <c r="N261" s="61"/>
      <c r="P261" s="61"/>
      <c r="R261" s="61"/>
      <c r="T261" s="61"/>
      <c r="V261" s="61"/>
      <c r="X261" s="61"/>
      <c r="Z261" s="61"/>
    </row>
    <row r="262" spans="6:26" x14ac:dyDescent="0.25">
      <c r="F262" s="61"/>
      <c r="H262" s="61"/>
      <c r="J262" s="61"/>
      <c r="L262" s="61"/>
      <c r="N262" s="61"/>
      <c r="P262" s="61"/>
      <c r="R262" s="61"/>
      <c r="T262" s="61"/>
      <c r="V262" s="61"/>
      <c r="X262" s="61"/>
      <c r="Z262" s="61"/>
    </row>
    <row r="263" spans="6:26" x14ac:dyDescent="0.25">
      <c r="F263" s="61"/>
      <c r="H263" s="61"/>
      <c r="J263" s="61"/>
      <c r="L263" s="61"/>
      <c r="N263" s="61"/>
      <c r="P263" s="61"/>
      <c r="R263" s="61"/>
      <c r="T263" s="61"/>
      <c r="V263" s="61"/>
      <c r="X263" s="61"/>
      <c r="Z263" s="61"/>
    </row>
    <row r="264" spans="6:26" x14ac:dyDescent="0.25">
      <c r="F264" s="61"/>
      <c r="H264" s="61"/>
      <c r="J264" s="61"/>
      <c r="L264" s="61"/>
      <c r="N264" s="61"/>
      <c r="P264" s="61"/>
      <c r="R264" s="61"/>
      <c r="T264" s="61"/>
      <c r="V264" s="61"/>
      <c r="X264" s="61"/>
      <c r="Z264" s="61"/>
    </row>
    <row r="265" spans="6:26" x14ac:dyDescent="0.25">
      <c r="F265" s="61"/>
      <c r="H265" s="61"/>
      <c r="J265" s="61"/>
      <c r="L265" s="61"/>
      <c r="N265" s="61"/>
      <c r="P265" s="61"/>
      <c r="R265" s="61"/>
      <c r="T265" s="61"/>
      <c r="V265" s="61"/>
      <c r="X265" s="61"/>
      <c r="Z265" s="61"/>
    </row>
    <row r="266" spans="6:26" x14ac:dyDescent="0.25">
      <c r="F266" s="61"/>
      <c r="H266" s="61"/>
      <c r="J266" s="61"/>
      <c r="L266" s="61"/>
      <c r="N266" s="61"/>
      <c r="P266" s="61"/>
      <c r="R266" s="61"/>
      <c r="T266" s="61"/>
      <c r="V266" s="61"/>
      <c r="X266" s="61"/>
      <c r="Z266" s="61"/>
    </row>
    <row r="267" spans="6:26" x14ac:dyDescent="0.25">
      <c r="F267" s="61"/>
      <c r="H267" s="61"/>
      <c r="J267" s="61"/>
      <c r="L267" s="61"/>
      <c r="N267" s="61"/>
      <c r="P267" s="61"/>
      <c r="R267" s="61"/>
      <c r="T267" s="61"/>
      <c r="V267" s="61"/>
      <c r="X267" s="61"/>
      <c r="Z267" s="61"/>
    </row>
    <row r="268" spans="6:26" x14ac:dyDescent="0.25">
      <c r="F268" s="61"/>
      <c r="H268" s="61"/>
      <c r="J268" s="61"/>
      <c r="L268" s="61"/>
      <c r="N268" s="61"/>
      <c r="P268" s="61"/>
      <c r="R268" s="61"/>
      <c r="T268" s="61"/>
      <c r="V268" s="61"/>
      <c r="X268" s="61"/>
      <c r="Z268" s="61"/>
    </row>
    <row r="269" spans="6:26" x14ac:dyDescent="0.25">
      <c r="F269" s="61"/>
      <c r="H269" s="61"/>
      <c r="J269" s="61"/>
      <c r="L269" s="61"/>
      <c r="N269" s="61"/>
      <c r="P269" s="61"/>
      <c r="R269" s="61"/>
      <c r="T269" s="61"/>
      <c r="V269" s="61"/>
      <c r="X269" s="61"/>
      <c r="Z269" s="61"/>
    </row>
    <row r="270" spans="6:26" x14ac:dyDescent="0.25">
      <c r="F270" s="61"/>
      <c r="H270" s="61"/>
      <c r="J270" s="61"/>
      <c r="L270" s="61"/>
      <c r="N270" s="61"/>
      <c r="P270" s="61"/>
      <c r="R270" s="61"/>
      <c r="T270" s="61"/>
      <c r="V270" s="61"/>
      <c r="X270" s="61"/>
      <c r="Z270" s="61"/>
    </row>
    <row r="271" spans="6:26" x14ac:dyDescent="0.25">
      <c r="F271" s="61"/>
      <c r="H271" s="61"/>
      <c r="J271" s="61"/>
      <c r="L271" s="61"/>
      <c r="N271" s="61"/>
      <c r="P271" s="61"/>
      <c r="R271" s="61"/>
      <c r="T271" s="61"/>
      <c r="V271" s="61"/>
      <c r="X271" s="61"/>
      <c r="Z271" s="61"/>
    </row>
    <row r="272" spans="6:26" x14ac:dyDescent="0.25">
      <c r="F272" s="61"/>
      <c r="H272" s="61"/>
      <c r="J272" s="61"/>
      <c r="L272" s="61"/>
      <c r="N272" s="61"/>
      <c r="P272" s="61"/>
      <c r="R272" s="61"/>
      <c r="T272" s="61"/>
      <c r="V272" s="61"/>
      <c r="X272" s="61"/>
      <c r="Z272" s="61"/>
    </row>
    <row r="273" spans="6:26" x14ac:dyDescent="0.25">
      <c r="F273" s="61"/>
      <c r="H273" s="61"/>
      <c r="J273" s="61"/>
      <c r="L273" s="61"/>
      <c r="N273" s="61"/>
      <c r="P273" s="61"/>
      <c r="R273" s="61"/>
      <c r="T273" s="61"/>
      <c r="V273" s="61"/>
      <c r="X273" s="61"/>
      <c r="Z273" s="61"/>
    </row>
    <row r="274" spans="6:26" x14ac:dyDescent="0.25">
      <c r="F274" s="61"/>
      <c r="H274" s="61"/>
      <c r="J274" s="61"/>
      <c r="L274" s="61"/>
      <c r="N274" s="61"/>
      <c r="P274" s="61"/>
      <c r="R274" s="61"/>
      <c r="T274" s="61"/>
      <c r="V274" s="61"/>
      <c r="X274" s="61"/>
      <c r="Z274" s="61"/>
    </row>
    <row r="275" spans="6:26" x14ac:dyDescent="0.25">
      <c r="F275" s="61"/>
      <c r="H275" s="61"/>
      <c r="J275" s="61"/>
      <c r="L275" s="61"/>
      <c r="N275" s="61"/>
      <c r="P275" s="61"/>
      <c r="R275" s="61"/>
      <c r="T275" s="61"/>
      <c r="V275" s="61"/>
      <c r="X275" s="61"/>
      <c r="Z275" s="61"/>
    </row>
    <row r="276" spans="6:26" x14ac:dyDescent="0.25">
      <c r="F276" s="61"/>
      <c r="H276" s="61"/>
      <c r="J276" s="61"/>
      <c r="L276" s="61"/>
      <c r="N276" s="61"/>
      <c r="P276" s="61"/>
      <c r="R276" s="61"/>
      <c r="T276" s="61"/>
      <c r="V276" s="61"/>
      <c r="X276" s="61"/>
      <c r="Z276" s="61"/>
    </row>
    <row r="277" spans="6:26" x14ac:dyDescent="0.25">
      <c r="F277" s="61"/>
      <c r="H277" s="61"/>
      <c r="J277" s="61"/>
      <c r="L277" s="61"/>
      <c r="N277" s="61"/>
      <c r="P277" s="61"/>
      <c r="R277" s="61"/>
      <c r="T277" s="61"/>
      <c r="V277" s="61"/>
      <c r="X277" s="61"/>
      <c r="Z277" s="61"/>
    </row>
    <row r="278" spans="6:26" x14ac:dyDescent="0.25">
      <c r="F278" s="61"/>
      <c r="H278" s="61"/>
      <c r="J278" s="61"/>
      <c r="L278" s="61"/>
      <c r="N278" s="61"/>
      <c r="P278" s="61"/>
      <c r="R278" s="61"/>
      <c r="T278" s="61"/>
      <c r="V278" s="61"/>
      <c r="X278" s="61"/>
      <c r="Z278" s="61"/>
    </row>
    <row r="279" spans="6:26" x14ac:dyDescent="0.25">
      <c r="F279" s="61"/>
      <c r="H279" s="61"/>
      <c r="J279" s="61"/>
      <c r="L279" s="61"/>
      <c r="N279" s="61"/>
      <c r="P279" s="61"/>
      <c r="R279" s="61"/>
      <c r="T279" s="61"/>
      <c r="V279" s="61"/>
      <c r="X279" s="61"/>
      <c r="Z279" s="61"/>
    </row>
    <row r="280" spans="6:26" x14ac:dyDescent="0.25">
      <c r="F280" s="61"/>
      <c r="H280" s="61"/>
      <c r="J280" s="61"/>
      <c r="L280" s="61"/>
      <c r="N280" s="61"/>
      <c r="P280" s="61"/>
      <c r="R280" s="61"/>
      <c r="T280" s="61"/>
      <c r="V280" s="61"/>
      <c r="X280" s="61"/>
      <c r="Z280" s="61"/>
    </row>
    <row r="281" spans="6:26" x14ac:dyDescent="0.25">
      <c r="F281" s="61"/>
      <c r="H281" s="61"/>
      <c r="J281" s="61"/>
      <c r="L281" s="61"/>
      <c r="N281" s="61"/>
      <c r="P281" s="61"/>
      <c r="R281" s="61"/>
      <c r="T281" s="61"/>
      <c r="V281" s="61"/>
      <c r="X281" s="61"/>
      <c r="Z281" s="61"/>
    </row>
    <row r="282" spans="6:26" x14ac:dyDescent="0.25">
      <c r="F282" s="61"/>
      <c r="H282" s="61"/>
      <c r="J282" s="61"/>
      <c r="L282" s="61"/>
      <c r="N282" s="61"/>
      <c r="P282" s="61"/>
      <c r="R282" s="61"/>
      <c r="T282" s="61"/>
      <c r="V282" s="61"/>
      <c r="X282" s="61"/>
      <c r="Z282" s="61"/>
    </row>
    <row r="283" spans="6:26" x14ac:dyDescent="0.25">
      <c r="F283" s="61"/>
      <c r="H283" s="61"/>
      <c r="J283" s="61"/>
      <c r="L283" s="61"/>
      <c r="N283" s="61"/>
      <c r="P283" s="61"/>
      <c r="R283" s="61"/>
      <c r="T283" s="61"/>
      <c r="V283" s="61"/>
      <c r="X283" s="61"/>
      <c r="Z283" s="61"/>
    </row>
    <row r="284" spans="6:26" x14ac:dyDescent="0.25">
      <c r="F284" s="61"/>
      <c r="H284" s="61"/>
      <c r="J284" s="61"/>
      <c r="L284" s="61"/>
      <c r="N284" s="61"/>
      <c r="P284" s="61"/>
      <c r="R284" s="61"/>
      <c r="T284" s="61"/>
      <c r="V284" s="61"/>
      <c r="X284" s="61"/>
      <c r="Z284" s="61"/>
    </row>
    <row r="285" spans="6:26" x14ac:dyDescent="0.25">
      <c r="F285" s="61"/>
      <c r="H285" s="61"/>
      <c r="J285" s="61"/>
      <c r="L285" s="61"/>
      <c r="N285" s="61"/>
      <c r="P285" s="61"/>
      <c r="R285" s="61"/>
      <c r="T285" s="61"/>
      <c r="V285" s="61"/>
      <c r="X285" s="61"/>
      <c r="Z285" s="61"/>
    </row>
    <row r="286" spans="6:26" x14ac:dyDescent="0.25">
      <c r="F286" s="61"/>
      <c r="H286" s="61"/>
      <c r="J286" s="61"/>
      <c r="L286" s="61"/>
      <c r="N286" s="61"/>
      <c r="P286" s="61"/>
      <c r="R286" s="61"/>
      <c r="T286" s="61"/>
      <c r="V286" s="61"/>
      <c r="X286" s="61"/>
      <c r="Z286" s="61"/>
    </row>
    <row r="287" spans="6:26" x14ac:dyDescent="0.25">
      <c r="F287" s="61"/>
      <c r="H287" s="61"/>
      <c r="J287" s="61"/>
      <c r="L287" s="61"/>
      <c r="N287" s="61"/>
      <c r="P287" s="61"/>
      <c r="R287" s="61"/>
      <c r="T287" s="61"/>
      <c r="V287" s="61"/>
      <c r="X287" s="61"/>
      <c r="Z287" s="61"/>
    </row>
    <row r="288" spans="6:26" x14ac:dyDescent="0.25">
      <c r="F288" s="61"/>
      <c r="H288" s="61"/>
      <c r="J288" s="61"/>
      <c r="L288" s="61"/>
      <c r="N288" s="61"/>
      <c r="P288" s="61"/>
      <c r="R288" s="61"/>
      <c r="T288" s="61"/>
      <c r="V288" s="61"/>
      <c r="X288" s="61"/>
      <c r="Z288" s="61"/>
    </row>
    <row r="289" spans="6:26" x14ac:dyDescent="0.25">
      <c r="F289" s="61"/>
      <c r="H289" s="61"/>
      <c r="J289" s="61"/>
      <c r="L289" s="61"/>
      <c r="N289" s="61"/>
      <c r="P289" s="61"/>
      <c r="R289" s="61"/>
      <c r="T289" s="61"/>
      <c r="V289" s="61"/>
      <c r="X289" s="61"/>
      <c r="Z289" s="61"/>
    </row>
    <row r="290" spans="6:26" x14ac:dyDescent="0.25">
      <c r="F290" s="61"/>
      <c r="H290" s="61"/>
      <c r="J290" s="61"/>
      <c r="L290" s="61"/>
      <c r="N290" s="61"/>
      <c r="P290" s="61"/>
      <c r="R290" s="61"/>
      <c r="T290" s="61"/>
      <c r="V290" s="61"/>
      <c r="X290" s="61"/>
      <c r="Z290" s="61"/>
    </row>
    <row r="291" spans="6:26" x14ac:dyDescent="0.25">
      <c r="F291" s="61"/>
      <c r="H291" s="61"/>
      <c r="J291" s="61"/>
      <c r="L291" s="61"/>
      <c r="N291" s="61"/>
      <c r="P291" s="61"/>
      <c r="R291" s="61"/>
      <c r="T291" s="61"/>
      <c r="V291" s="61"/>
      <c r="X291" s="61"/>
      <c r="Z291" s="61"/>
    </row>
    <row r="292" spans="6:26" x14ac:dyDescent="0.25">
      <c r="F292" s="61"/>
      <c r="H292" s="61"/>
      <c r="J292" s="61"/>
      <c r="L292" s="61"/>
      <c r="N292" s="61"/>
      <c r="P292" s="61"/>
      <c r="R292" s="61"/>
      <c r="T292" s="61"/>
      <c r="V292" s="61"/>
      <c r="X292" s="61"/>
      <c r="Z292" s="61"/>
    </row>
    <row r="293" spans="6:26" x14ac:dyDescent="0.25">
      <c r="F293" s="61"/>
      <c r="H293" s="61"/>
      <c r="J293" s="61"/>
      <c r="L293" s="61"/>
      <c r="N293" s="61"/>
      <c r="P293" s="61"/>
      <c r="R293" s="61"/>
      <c r="T293" s="61"/>
      <c r="V293" s="61"/>
      <c r="X293" s="61"/>
      <c r="Z293" s="61"/>
    </row>
    <row r="294" spans="6:26" x14ac:dyDescent="0.25">
      <c r="F294" s="61"/>
      <c r="H294" s="61"/>
      <c r="J294" s="61"/>
      <c r="L294" s="61"/>
      <c r="N294" s="61"/>
      <c r="P294" s="61"/>
      <c r="R294" s="61"/>
      <c r="T294" s="61"/>
      <c r="V294" s="61"/>
      <c r="X294" s="61"/>
      <c r="Z294" s="61"/>
    </row>
    <row r="295" spans="6:26" x14ac:dyDescent="0.25">
      <c r="F295" s="61"/>
      <c r="H295" s="61"/>
      <c r="J295" s="61"/>
      <c r="L295" s="61"/>
      <c r="N295" s="61"/>
      <c r="P295" s="61"/>
      <c r="R295" s="61"/>
      <c r="T295" s="61"/>
      <c r="V295" s="61"/>
      <c r="X295" s="61"/>
      <c r="Z295" s="61"/>
    </row>
    <row r="296" spans="6:26" x14ac:dyDescent="0.25">
      <c r="F296" s="61"/>
      <c r="H296" s="61"/>
      <c r="J296" s="61"/>
      <c r="L296" s="61"/>
      <c r="N296" s="61"/>
      <c r="P296" s="61"/>
      <c r="R296" s="61"/>
      <c r="T296" s="61"/>
      <c r="V296" s="61"/>
      <c r="X296" s="61"/>
      <c r="Z296" s="61"/>
    </row>
    <row r="297" spans="6:26" x14ac:dyDescent="0.25">
      <c r="F297" s="61"/>
      <c r="H297" s="61"/>
      <c r="J297" s="61"/>
      <c r="L297" s="61"/>
      <c r="N297" s="61"/>
      <c r="P297" s="61"/>
      <c r="R297" s="61"/>
      <c r="T297" s="61"/>
      <c r="V297" s="61"/>
      <c r="X297" s="61"/>
      <c r="Z297" s="61"/>
    </row>
    <row r="298" spans="6:26" x14ac:dyDescent="0.25">
      <c r="F298" s="61"/>
      <c r="H298" s="61"/>
      <c r="J298" s="61"/>
      <c r="L298" s="61"/>
      <c r="N298" s="61"/>
      <c r="P298" s="61"/>
      <c r="R298" s="61"/>
      <c r="T298" s="61"/>
      <c r="V298" s="61"/>
      <c r="X298" s="61"/>
      <c r="Z298" s="61"/>
    </row>
    <row r="299" spans="6:26" x14ac:dyDescent="0.25">
      <c r="F299" s="61"/>
      <c r="H299" s="61"/>
      <c r="J299" s="61"/>
      <c r="L299" s="61"/>
      <c r="N299" s="61"/>
      <c r="P299" s="61"/>
      <c r="R299" s="61"/>
      <c r="T299" s="61"/>
      <c r="V299" s="61"/>
      <c r="X299" s="61"/>
      <c r="Z299" s="61"/>
    </row>
    <row r="300" spans="6:26" x14ac:dyDescent="0.25">
      <c r="F300" s="61"/>
      <c r="H300" s="61"/>
      <c r="J300" s="61"/>
      <c r="L300" s="61"/>
      <c r="N300" s="61"/>
      <c r="P300" s="61"/>
      <c r="R300" s="61"/>
      <c r="T300" s="61"/>
      <c r="V300" s="61"/>
      <c r="X300" s="61"/>
      <c r="Z300" s="61"/>
    </row>
    <row r="301" spans="6:26" x14ac:dyDescent="0.25">
      <c r="F301" s="61"/>
      <c r="H301" s="61"/>
      <c r="J301" s="61"/>
      <c r="L301" s="61"/>
      <c r="N301" s="61"/>
      <c r="P301" s="61"/>
      <c r="R301" s="61"/>
      <c r="T301" s="61"/>
      <c r="V301" s="61"/>
      <c r="X301" s="61"/>
      <c r="Z301" s="61"/>
    </row>
    <row r="302" spans="6:26" x14ac:dyDescent="0.25">
      <c r="F302" s="61"/>
      <c r="H302" s="61"/>
      <c r="J302" s="61"/>
      <c r="L302" s="61"/>
      <c r="N302" s="61"/>
      <c r="P302" s="61"/>
      <c r="R302" s="61"/>
      <c r="T302" s="61"/>
      <c r="V302" s="61"/>
      <c r="X302" s="61"/>
      <c r="Z302" s="61"/>
    </row>
    <row r="303" spans="6:26" x14ac:dyDescent="0.25">
      <c r="F303" s="61"/>
      <c r="H303" s="61"/>
      <c r="J303" s="61"/>
      <c r="L303" s="61"/>
      <c r="N303" s="61"/>
      <c r="P303" s="61"/>
      <c r="R303" s="61"/>
      <c r="T303" s="61"/>
      <c r="V303" s="61"/>
      <c r="X303" s="61"/>
      <c r="Z303" s="61"/>
    </row>
    <row r="304" spans="6:26" x14ac:dyDescent="0.25">
      <c r="F304" s="61"/>
      <c r="H304" s="61"/>
      <c r="J304" s="61"/>
      <c r="L304" s="61"/>
      <c r="N304" s="61"/>
      <c r="P304" s="61"/>
      <c r="R304" s="61"/>
      <c r="T304" s="61"/>
      <c r="V304" s="61"/>
      <c r="X304" s="61"/>
      <c r="Z304" s="61"/>
    </row>
    <row r="305" spans="6:26" x14ac:dyDescent="0.25">
      <c r="F305" s="61"/>
      <c r="H305" s="61"/>
      <c r="J305" s="61"/>
      <c r="L305" s="61"/>
      <c r="N305" s="61"/>
      <c r="P305" s="61"/>
      <c r="R305" s="61"/>
      <c r="T305" s="61"/>
      <c r="V305" s="61"/>
      <c r="X305" s="61"/>
      <c r="Z305" s="61"/>
    </row>
    <row r="306" spans="6:26" x14ac:dyDescent="0.25">
      <c r="F306" s="61"/>
      <c r="H306" s="61"/>
      <c r="J306" s="61"/>
      <c r="L306" s="61"/>
      <c r="N306" s="61"/>
      <c r="P306" s="61"/>
      <c r="R306" s="61"/>
      <c r="T306" s="61"/>
      <c r="V306" s="61"/>
      <c r="X306" s="61"/>
      <c r="Z306" s="61"/>
    </row>
    <row r="307" spans="6:26" x14ac:dyDescent="0.25">
      <c r="F307" s="61"/>
      <c r="H307" s="61"/>
      <c r="J307" s="61"/>
      <c r="L307" s="61"/>
      <c r="N307" s="61"/>
      <c r="P307" s="61"/>
      <c r="R307" s="61"/>
      <c r="T307" s="61"/>
      <c r="V307" s="61"/>
      <c r="X307" s="61"/>
      <c r="Z307" s="61"/>
    </row>
    <row r="308" spans="6:26" x14ac:dyDescent="0.25">
      <c r="F308" s="61"/>
      <c r="H308" s="61"/>
      <c r="J308" s="61"/>
      <c r="L308" s="61"/>
      <c r="N308" s="61"/>
      <c r="P308" s="61"/>
      <c r="R308" s="61"/>
      <c r="T308" s="61"/>
      <c r="V308" s="61"/>
      <c r="X308" s="61"/>
      <c r="Z308" s="61"/>
    </row>
    <row r="309" spans="6:26" x14ac:dyDescent="0.25">
      <c r="F309" s="61"/>
      <c r="H309" s="61"/>
      <c r="J309" s="61"/>
      <c r="L309" s="61"/>
      <c r="N309" s="61"/>
      <c r="P309" s="61"/>
      <c r="R309" s="61"/>
      <c r="T309" s="61"/>
      <c r="V309" s="61"/>
      <c r="X309" s="61"/>
      <c r="Z309" s="61"/>
    </row>
    <row r="310" spans="6:26" x14ac:dyDescent="0.25">
      <c r="F310" s="61"/>
      <c r="H310" s="61"/>
      <c r="J310" s="61"/>
      <c r="L310" s="61"/>
      <c r="N310" s="61"/>
      <c r="P310" s="61"/>
      <c r="R310" s="61"/>
      <c r="T310" s="61"/>
      <c r="V310" s="61"/>
      <c r="X310" s="61"/>
      <c r="Z310" s="61"/>
    </row>
    <row r="311" spans="6:26" x14ac:dyDescent="0.25">
      <c r="F311" s="61"/>
      <c r="H311" s="61"/>
      <c r="J311" s="61"/>
      <c r="L311" s="61"/>
      <c r="N311" s="61"/>
      <c r="P311" s="61"/>
      <c r="R311" s="61"/>
      <c r="T311" s="61"/>
      <c r="V311" s="61"/>
      <c r="X311" s="61"/>
      <c r="Z311" s="61"/>
    </row>
    <row r="312" spans="6:26" x14ac:dyDescent="0.25">
      <c r="F312" s="61"/>
      <c r="H312" s="61"/>
      <c r="J312" s="61"/>
      <c r="L312" s="61"/>
      <c r="N312" s="61"/>
      <c r="P312" s="61"/>
      <c r="R312" s="61"/>
      <c r="T312" s="61"/>
      <c r="V312" s="61"/>
      <c r="X312" s="61"/>
      <c r="Z312" s="61"/>
    </row>
    <row r="313" spans="6:26" x14ac:dyDescent="0.25">
      <c r="F313" s="61"/>
      <c r="H313" s="61"/>
      <c r="J313" s="61"/>
      <c r="L313" s="61"/>
      <c r="N313" s="61"/>
      <c r="P313" s="61"/>
      <c r="R313" s="61"/>
      <c r="T313" s="61"/>
      <c r="V313" s="61"/>
      <c r="X313" s="61"/>
      <c r="Z313" s="61"/>
    </row>
    <row r="314" spans="6:26" x14ac:dyDescent="0.25">
      <c r="F314" s="61"/>
      <c r="H314" s="61"/>
      <c r="J314" s="61"/>
      <c r="L314" s="61"/>
      <c r="N314" s="61"/>
      <c r="P314" s="61"/>
      <c r="R314" s="61"/>
      <c r="T314" s="61"/>
      <c r="V314" s="61"/>
      <c r="X314" s="61"/>
      <c r="Z314" s="61"/>
    </row>
    <row r="315" spans="6:26" x14ac:dyDescent="0.25">
      <c r="F315" s="61"/>
      <c r="H315" s="61"/>
      <c r="J315" s="61"/>
      <c r="L315" s="61"/>
      <c r="N315" s="61"/>
      <c r="P315" s="61"/>
      <c r="R315" s="61"/>
      <c r="T315" s="61"/>
      <c r="V315" s="61"/>
      <c r="X315" s="61"/>
      <c r="Z315" s="61"/>
    </row>
    <row r="316" spans="6:26" x14ac:dyDescent="0.25">
      <c r="F316" s="61"/>
      <c r="H316" s="61"/>
      <c r="J316" s="61"/>
      <c r="L316" s="61"/>
      <c r="N316" s="61"/>
      <c r="P316" s="61"/>
      <c r="R316" s="61"/>
      <c r="T316" s="61"/>
      <c r="V316" s="61"/>
      <c r="X316" s="61"/>
      <c r="Z316" s="61"/>
    </row>
    <row r="317" spans="6:26" x14ac:dyDescent="0.25">
      <c r="F317" s="61"/>
      <c r="H317" s="61"/>
      <c r="J317" s="61"/>
      <c r="L317" s="61"/>
      <c r="N317" s="61"/>
      <c r="P317" s="61"/>
      <c r="R317" s="61"/>
      <c r="T317" s="61"/>
      <c r="V317" s="61"/>
      <c r="X317" s="61"/>
      <c r="Z317" s="61"/>
    </row>
    <row r="318" spans="6:26" x14ac:dyDescent="0.25">
      <c r="F318" s="61"/>
      <c r="H318" s="61"/>
      <c r="J318" s="61"/>
      <c r="L318" s="61"/>
      <c r="N318" s="61"/>
      <c r="P318" s="61"/>
      <c r="R318" s="61"/>
      <c r="T318" s="61"/>
      <c r="V318" s="61"/>
      <c r="X318" s="61"/>
      <c r="Z318" s="61"/>
    </row>
    <row r="319" spans="6:26" x14ac:dyDescent="0.25">
      <c r="F319" s="61"/>
      <c r="H319" s="61"/>
      <c r="J319" s="61"/>
      <c r="L319" s="61"/>
      <c r="N319" s="61"/>
      <c r="P319" s="61"/>
      <c r="R319" s="61"/>
      <c r="T319" s="61"/>
      <c r="V319" s="61"/>
      <c r="X319" s="61"/>
      <c r="Z319" s="61"/>
    </row>
    <row r="320" spans="6:26" x14ac:dyDescent="0.25">
      <c r="F320" s="61"/>
      <c r="H320" s="61"/>
      <c r="J320" s="61"/>
      <c r="L320" s="61"/>
      <c r="N320" s="61"/>
      <c r="P320" s="61"/>
      <c r="R320" s="61"/>
      <c r="T320" s="61"/>
      <c r="V320" s="61"/>
      <c r="X320" s="61"/>
      <c r="Z320" s="61"/>
    </row>
    <row r="321" spans="6:26" x14ac:dyDescent="0.25">
      <c r="F321" s="61"/>
      <c r="H321" s="61"/>
      <c r="J321" s="61"/>
      <c r="L321" s="61"/>
      <c r="N321" s="61"/>
      <c r="P321" s="61"/>
      <c r="R321" s="61"/>
      <c r="T321" s="61"/>
      <c r="V321" s="61"/>
      <c r="X321" s="61"/>
      <c r="Z321" s="61"/>
    </row>
    <row r="322" spans="6:26" x14ac:dyDescent="0.25">
      <c r="F322" s="61"/>
      <c r="H322" s="61"/>
      <c r="J322" s="61"/>
      <c r="L322" s="61"/>
      <c r="N322" s="61"/>
      <c r="P322" s="61"/>
      <c r="R322" s="61"/>
      <c r="T322" s="61"/>
      <c r="V322" s="61"/>
      <c r="X322" s="61"/>
      <c r="Z322" s="61"/>
    </row>
    <row r="323" spans="6:26" x14ac:dyDescent="0.25">
      <c r="F323" s="61"/>
      <c r="H323" s="61"/>
      <c r="J323" s="61"/>
      <c r="L323" s="61"/>
      <c r="N323" s="61"/>
      <c r="P323" s="61"/>
      <c r="R323" s="61"/>
      <c r="T323" s="61"/>
      <c r="V323" s="61"/>
      <c r="X323" s="61"/>
      <c r="Z323" s="61"/>
    </row>
    <row r="324" spans="6:26" x14ac:dyDescent="0.25">
      <c r="F324" s="61"/>
      <c r="H324" s="61"/>
      <c r="J324" s="61"/>
      <c r="L324" s="61"/>
      <c r="N324" s="61"/>
      <c r="P324" s="61"/>
      <c r="R324" s="61"/>
      <c r="T324" s="61"/>
      <c r="V324" s="61"/>
      <c r="X324" s="61"/>
      <c r="Z324" s="61"/>
    </row>
    <row r="325" spans="6:26" x14ac:dyDescent="0.25">
      <c r="F325" s="61"/>
      <c r="H325" s="61"/>
      <c r="J325" s="61"/>
      <c r="L325" s="61"/>
      <c r="N325" s="61"/>
      <c r="P325" s="61"/>
      <c r="R325" s="61"/>
      <c r="T325" s="61"/>
      <c r="V325" s="61"/>
      <c r="X325" s="61"/>
      <c r="Z325" s="61"/>
    </row>
    <row r="326" spans="6:26" x14ac:dyDescent="0.25">
      <c r="F326" s="61"/>
      <c r="H326" s="61"/>
      <c r="J326" s="61"/>
      <c r="L326" s="61"/>
      <c r="N326" s="61"/>
      <c r="P326" s="61"/>
      <c r="R326" s="61"/>
      <c r="T326" s="61"/>
      <c r="V326" s="61"/>
      <c r="X326" s="61"/>
      <c r="Z326" s="61"/>
    </row>
    <row r="327" spans="6:26" x14ac:dyDescent="0.25">
      <c r="F327" s="61"/>
      <c r="H327" s="61"/>
      <c r="J327" s="61"/>
      <c r="L327" s="61"/>
      <c r="N327" s="61"/>
      <c r="P327" s="61"/>
      <c r="R327" s="61"/>
      <c r="T327" s="61"/>
      <c r="V327" s="61"/>
      <c r="X327" s="61"/>
      <c r="Z327" s="61"/>
    </row>
    <row r="328" spans="6:26" x14ac:dyDescent="0.25">
      <c r="F328" s="61"/>
      <c r="H328" s="61"/>
      <c r="J328" s="61"/>
      <c r="L328" s="61"/>
      <c r="N328" s="61"/>
      <c r="P328" s="61"/>
      <c r="R328" s="61"/>
      <c r="T328" s="61"/>
      <c r="V328" s="61"/>
      <c r="X328" s="61"/>
      <c r="Z328" s="61"/>
    </row>
    <row r="329" spans="6:26" x14ac:dyDescent="0.25">
      <c r="F329" s="61"/>
      <c r="H329" s="61"/>
      <c r="J329" s="61"/>
      <c r="L329" s="61"/>
      <c r="N329" s="61"/>
      <c r="P329" s="61"/>
      <c r="R329" s="61"/>
      <c r="T329" s="61"/>
      <c r="V329" s="61"/>
      <c r="X329" s="61"/>
      <c r="Z329" s="61"/>
    </row>
    <row r="330" spans="6:26" x14ac:dyDescent="0.25">
      <c r="F330" s="61"/>
      <c r="H330" s="61"/>
      <c r="J330" s="61"/>
      <c r="L330" s="61"/>
      <c r="N330" s="61"/>
      <c r="P330" s="61"/>
      <c r="R330" s="61"/>
      <c r="T330" s="61"/>
      <c r="V330" s="61"/>
      <c r="X330" s="61"/>
      <c r="Z330" s="61"/>
    </row>
    <row r="331" spans="6:26" x14ac:dyDescent="0.25">
      <c r="F331" s="61"/>
      <c r="H331" s="61"/>
      <c r="J331" s="61"/>
      <c r="L331" s="61"/>
      <c r="N331" s="61"/>
      <c r="P331" s="61"/>
      <c r="R331" s="61"/>
      <c r="T331" s="61"/>
      <c r="V331" s="61"/>
      <c r="X331" s="61"/>
      <c r="Z331" s="61"/>
    </row>
    <row r="332" spans="6:26" x14ac:dyDescent="0.25">
      <c r="F332" s="61"/>
      <c r="H332" s="61"/>
      <c r="J332" s="61"/>
      <c r="L332" s="61"/>
      <c r="N332" s="61"/>
      <c r="P332" s="61"/>
      <c r="R332" s="61"/>
      <c r="T332" s="61"/>
      <c r="V332" s="61"/>
      <c r="X332" s="61"/>
      <c r="Z332" s="61"/>
    </row>
    <row r="333" spans="6:26" x14ac:dyDescent="0.25">
      <c r="F333" s="61"/>
      <c r="H333" s="61"/>
      <c r="J333" s="61"/>
      <c r="L333" s="61"/>
      <c r="N333" s="61"/>
      <c r="P333" s="61"/>
      <c r="R333" s="61"/>
      <c r="T333" s="61"/>
      <c r="V333" s="61"/>
      <c r="X333" s="61"/>
      <c r="Z333" s="61"/>
    </row>
    <row r="334" spans="6:26" x14ac:dyDescent="0.25">
      <c r="F334" s="61"/>
      <c r="H334" s="61"/>
      <c r="J334" s="61"/>
      <c r="L334" s="61"/>
      <c r="N334" s="61"/>
      <c r="P334" s="61"/>
      <c r="R334" s="61"/>
      <c r="T334" s="61"/>
      <c r="V334" s="61"/>
      <c r="X334" s="61"/>
      <c r="Z334" s="61"/>
    </row>
    <row r="335" spans="6:26" x14ac:dyDescent="0.25">
      <c r="F335" s="61"/>
      <c r="H335" s="61"/>
      <c r="J335" s="61"/>
      <c r="L335" s="61"/>
      <c r="N335" s="61"/>
      <c r="P335" s="61"/>
      <c r="R335" s="61"/>
      <c r="T335" s="61"/>
      <c r="V335" s="61"/>
      <c r="X335" s="61"/>
      <c r="Z335" s="61"/>
    </row>
    <row r="336" spans="6:26" x14ac:dyDescent="0.25">
      <c r="F336" s="61"/>
      <c r="H336" s="61"/>
      <c r="J336" s="61"/>
      <c r="L336" s="61"/>
      <c r="N336" s="61"/>
      <c r="P336" s="61"/>
      <c r="R336" s="61"/>
      <c r="T336" s="61"/>
      <c r="V336" s="61"/>
      <c r="X336" s="61"/>
      <c r="Z336" s="61"/>
    </row>
  </sheetData>
  <mergeCells count="44">
    <mergeCell ref="A70:B72"/>
    <mergeCell ref="A55:B57"/>
    <mergeCell ref="A51:B53"/>
    <mergeCell ref="A48:B50"/>
    <mergeCell ref="A45:B47"/>
    <mergeCell ref="A85:B87"/>
    <mergeCell ref="A82:B84"/>
    <mergeCell ref="A79:B81"/>
    <mergeCell ref="A76:B78"/>
    <mergeCell ref="A73:B75"/>
    <mergeCell ref="AD1:AE2"/>
    <mergeCell ref="A3:B5"/>
    <mergeCell ref="A6:B8"/>
    <mergeCell ref="A12:B14"/>
    <mergeCell ref="A15:B17"/>
    <mergeCell ref="Z1:AA1"/>
    <mergeCell ref="AB1:AC1"/>
    <mergeCell ref="A18:B20"/>
    <mergeCell ref="R1:S1"/>
    <mergeCell ref="T1:U1"/>
    <mergeCell ref="V1:W1"/>
    <mergeCell ref="X1:Y1"/>
    <mergeCell ref="F1:G1"/>
    <mergeCell ref="H1:I1"/>
    <mergeCell ref="J1:K1"/>
    <mergeCell ref="L1:M1"/>
    <mergeCell ref="N1:O1"/>
    <mergeCell ref="P1:Q1"/>
    <mergeCell ref="A1:B2"/>
    <mergeCell ref="E1:E2"/>
    <mergeCell ref="A9:B11"/>
    <mergeCell ref="D1:D2"/>
    <mergeCell ref="A21:B23"/>
    <mergeCell ref="A24:B26"/>
    <mergeCell ref="A27:B29"/>
    <mergeCell ref="A30:B32"/>
    <mergeCell ref="A67:B69"/>
    <mergeCell ref="A64:B66"/>
    <mergeCell ref="A61:B63"/>
    <mergeCell ref="A58:B60"/>
    <mergeCell ref="A36:B38"/>
    <mergeCell ref="A33:B35"/>
    <mergeCell ref="A39:B41"/>
    <mergeCell ref="A42:B4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1F0C0-B958-436F-919E-2D957E26E2AD}">
  <dimension ref="A1:AI40"/>
  <sheetViews>
    <sheetView workbookViewId="0">
      <selection activeCell="A5" sqref="A5"/>
    </sheetView>
  </sheetViews>
  <sheetFormatPr defaultRowHeight="15" x14ac:dyDescent="0.25"/>
  <cols>
    <col min="1" max="1" width="52.1640625" style="156" customWidth="1"/>
    <col min="2" max="3" width="9.1640625" style="129" customWidth="1"/>
    <col min="4" max="4" width="9.33203125" style="129" customWidth="1"/>
    <col min="5" max="19" width="8.5" style="126" customWidth="1"/>
    <col min="20" max="21" width="9.33203125" style="126" customWidth="1"/>
    <col min="22" max="34" width="8.5" style="126" customWidth="1"/>
    <col min="16384" max="16384" width="9.33203125" bestFit="1" customWidth="1"/>
  </cols>
  <sheetData>
    <row r="1" spans="1:35" x14ac:dyDescent="0.2">
      <c r="A1" s="134" t="s">
        <v>124</v>
      </c>
      <c r="B1" s="136" t="s">
        <v>172</v>
      </c>
      <c r="C1" s="137" t="s">
        <v>173</v>
      </c>
      <c r="D1" s="138" t="s">
        <v>174</v>
      </c>
      <c r="E1" s="135">
        <v>45627</v>
      </c>
      <c r="F1" s="135">
        <v>45628</v>
      </c>
      <c r="G1" s="135">
        <v>45629</v>
      </c>
      <c r="H1" s="135">
        <v>45630</v>
      </c>
      <c r="I1" s="135">
        <v>45631</v>
      </c>
      <c r="J1" s="135">
        <v>45632</v>
      </c>
      <c r="K1" s="135">
        <v>45633</v>
      </c>
      <c r="L1" s="135">
        <v>45634</v>
      </c>
      <c r="M1" s="135">
        <v>45635</v>
      </c>
      <c r="N1" s="135">
        <v>45636</v>
      </c>
      <c r="O1" s="135">
        <v>45637</v>
      </c>
      <c r="P1" s="135">
        <v>45638</v>
      </c>
      <c r="Q1" s="135">
        <v>45639</v>
      </c>
      <c r="R1" s="135">
        <v>45640</v>
      </c>
      <c r="S1" s="135">
        <v>45641</v>
      </c>
      <c r="T1" s="135">
        <v>45642</v>
      </c>
      <c r="U1" s="135">
        <v>45643</v>
      </c>
      <c r="V1" s="135">
        <v>45644</v>
      </c>
      <c r="W1" s="135">
        <v>45645</v>
      </c>
      <c r="X1" s="135">
        <v>45646</v>
      </c>
      <c r="Y1" s="135">
        <v>45647</v>
      </c>
      <c r="Z1" s="135">
        <v>45648</v>
      </c>
      <c r="AA1" s="135">
        <v>45649</v>
      </c>
      <c r="AB1" s="135">
        <v>45650</v>
      </c>
      <c r="AC1" s="135">
        <v>45651</v>
      </c>
      <c r="AD1" s="135">
        <v>45652</v>
      </c>
      <c r="AE1" s="135">
        <v>45653</v>
      </c>
      <c r="AF1" s="135">
        <v>45654</v>
      </c>
      <c r="AG1" s="135">
        <v>45655</v>
      </c>
      <c r="AH1" s="135">
        <v>45656</v>
      </c>
      <c r="AI1" s="135">
        <v>45657</v>
      </c>
    </row>
    <row r="2" spans="1:35" ht="18.75" customHeight="1" x14ac:dyDescent="0.2">
      <c r="A2" s="141" t="s">
        <v>158</v>
      </c>
      <c r="B2" s="139">
        <f>NOV!B2 + 1.25 - (COUNTIF(E2:AI2, "VL") * 1) - (COUNTIF(E2:AH2, "HDL") * 0.5)</f>
        <v>7</v>
      </c>
      <c r="C2" s="140">
        <f>NOV!C2+ 0.416666666666666 - COUNTIF(E2:AH2, "SL")-(COUNTIF(E2:AH2, "HDSL") * 0.5)</f>
        <v>0.33333333333333148</v>
      </c>
      <c r="D2" s="138"/>
      <c r="E2" s="127"/>
      <c r="F2" s="127"/>
      <c r="G2" s="127"/>
      <c r="H2" s="127"/>
      <c r="I2" s="127"/>
      <c r="J2" s="127"/>
      <c r="K2" s="127"/>
      <c r="L2" s="127"/>
      <c r="M2" s="127"/>
      <c r="N2" s="127" t="s">
        <v>173</v>
      </c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 t="s">
        <v>172</v>
      </c>
      <c r="AC2" s="127"/>
      <c r="AD2" s="127"/>
      <c r="AE2" s="127" t="s">
        <v>172</v>
      </c>
      <c r="AF2" s="127" t="s">
        <v>172</v>
      </c>
      <c r="AG2" s="127"/>
      <c r="AH2" s="127"/>
      <c r="AI2" s="127" t="s">
        <v>172</v>
      </c>
    </row>
    <row r="3" spans="1:35" ht="18.75" customHeight="1" x14ac:dyDescent="0.2">
      <c r="A3" s="141" t="s">
        <v>160</v>
      </c>
      <c r="B3" s="139">
        <f>NOV!B3 + 1.25 - (COUNTIF(E3:AH3, "VL") * 1) - (COUNTIF(E3:AH3, "HDL") * 0.5)</f>
        <v>14</v>
      </c>
      <c r="C3" s="140">
        <f>NOV!C3+ 0.416666666666666 - COUNTIF(E3:AH3, "SL")-(COUNTIF(E3:AH3, "HDSL") * 0.5)</f>
        <v>0.33333333333333082</v>
      </c>
      <c r="D3" s="138"/>
      <c r="E3" s="127"/>
      <c r="F3" s="127" t="s">
        <v>173</v>
      </c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59" t="s">
        <v>172</v>
      </c>
      <c r="Y3" s="127"/>
      <c r="Z3" s="127"/>
      <c r="AA3" s="127" t="s">
        <v>172</v>
      </c>
      <c r="AB3" s="127" t="s">
        <v>172</v>
      </c>
      <c r="AC3" s="127"/>
      <c r="AD3" s="127"/>
      <c r="AE3" s="127" t="s">
        <v>172</v>
      </c>
      <c r="AF3" s="127"/>
      <c r="AG3" s="127"/>
      <c r="AH3" s="127"/>
      <c r="AI3" s="127" t="s">
        <v>172</v>
      </c>
    </row>
    <row r="4" spans="1:35" ht="18.75" customHeight="1" x14ac:dyDescent="0.2">
      <c r="A4" s="141" t="s">
        <v>149</v>
      </c>
      <c r="B4" s="139">
        <f>NOV!B4 + 1.25 - (COUNTIF(E4:AH4, "VL") * 1) - (COUNTIF(E4:AH4, "HDL") * 0.5)</f>
        <v>19.75</v>
      </c>
      <c r="C4" s="140">
        <f>NOV!C4+ 0.416666666666666 - COUNTIF(E4:AH4, "SL")-(COUNTIF(E4:AH4, "HDSL") * 0.5)</f>
        <v>0.25999999999999801</v>
      </c>
      <c r="D4" s="138"/>
      <c r="E4" s="127"/>
      <c r="F4" s="127" t="s">
        <v>173</v>
      </c>
      <c r="G4" s="127"/>
      <c r="H4" s="127"/>
      <c r="I4" s="127" t="s">
        <v>173</v>
      </c>
      <c r="J4" s="127" t="s">
        <v>173</v>
      </c>
      <c r="K4" s="127"/>
      <c r="L4" s="127"/>
      <c r="M4" s="127"/>
      <c r="N4" s="127"/>
      <c r="O4" s="127" t="s">
        <v>173</v>
      </c>
      <c r="P4" s="127"/>
      <c r="Q4" s="127"/>
      <c r="R4" s="127"/>
      <c r="S4" s="127"/>
      <c r="T4" s="127" t="s">
        <v>173</v>
      </c>
      <c r="U4" s="127" t="s">
        <v>173</v>
      </c>
      <c r="V4" s="127"/>
      <c r="W4" s="127"/>
      <c r="X4" s="127" t="s">
        <v>173</v>
      </c>
      <c r="Y4" s="127"/>
      <c r="Z4" s="127"/>
      <c r="AA4" s="127" t="s">
        <v>173</v>
      </c>
      <c r="AB4" s="127" t="s">
        <v>172</v>
      </c>
      <c r="AC4" s="127"/>
      <c r="AD4" s="127"/>
      <c r="AE4" s="127" t="s">
        <v>172</v>
      </c>
      <c r="AF4" s="127"/>
      <c r="AG4" s="127"/>
      <c r="AH4" s="127"/>
      <c r="AI4" s="127" t="s">
        <v>172</v>
      </c>
    </row>
    <row r="5" spans="1:35" ht="18.75" customHeight="1" x14ac:dyDescent="0.2">
      <c r="A5" s="141" t="s">
        <v>142</v>
      </c>
      <c r="B5" s="139">
        <f>NOV!B5 + 1.25 - (COUNTIF(E5:AH5, "VL") * 1) - (COUNTIF(E5:AH5, "HDL") * 0.5)</f>
        <v>9.5</v>
      </c>
      <c r="C5" s="140">
        <f>NOV!C5+ 0.416666666666666 - COUNTIF(E5:AH5, "SL")-(COUNTIF(E5:AH5, "HDSL") * 0.5)</f>
        <v>0.17999999999999972</v>
      </c>
      <c r="D5" s="138"/>
      <c r="E5" s="127"/>
      <c r="F5" s="127"/>
      <c r="G5" s="127"/>
      <c r="H5" s="127"/>
      <c r="I5" s="127"/>
      <c r="J5" s="127" t="s">
        <v>173</v>
      </c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 t="s">
        <v>173</v>
      </c>
      <c r="V5" s="127" t="s">
        <v>173</v>
      </c>
      <c r="W5" s="127"/>
      <c r="X5" s="127" t="s">
        <v>175</v>
      </c>
      <c r="Y5" s="127"/>
      <c r="Z5" s="127"/>
      <c r="AA5" s="127" t="s">
        <v>173</v>
      </c>
      <c r="AB5" s="127" t="s">
        <v>172</v>
      </c>
      <c r="AC5" s="127"/>
      <c r="AD5" s="127"/>
      <c r="AE5" s="127" t="s">
        <v>173</v>
      </c>
      <c r="AF5" s="127"/>
      <c r="AG5" s="127"/>
      <c r="AH5" s="127"/>
      <c r="AI5" s="127" t="s">
        <v>173</v>
      </c>
    </row>
    <row r="6" spans="1:35" ht="18.75" customHeight="1" x14ac:dyDescent="0.2">
      <c r="A6" s="141" t="s">
        <v>176</v>
      </c>
      <c r="B6" s="139">
        <f>NOV!B6 + 1.25 - (COUNTIF(E6:AH6, "VL") * 1) - (COUNTIF(E6:AH6, "HDL") * 0.5)</f>
        <v>2</v>
      </c>
      <c r="C6" s="140">
        <f>NOV!C6+ 0.416666666666666 - COUNTIF(E6:AH6, "SL")-(COUNTIF(E6:AH6, "HDSL") * 0.5)</f>
        <v>3.3333333333333282</v>
      </c>
      <c r="D6" s="138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 t="s">
        <v>172</v>
      </c>
      <c r="U6" s="135" t="s">
        <v>172</v>
      </c>
      <c r="V6" s="135" t="s">
        <v>172</v>
      </c>
      <c r="W6" s="135" t="s">
        <v>172</v>
      </c>
      <c r="X6" s="135" t="s">
        <v>172</v>
      </c>
      <c r="Y6" s="135"/>
      <c r="Z6" s="135"/>
      <c r="AA6" s="135" t="s">
        <v>172</v>
      </c>
      <c r="AB6" s="135" t="s">
        <v>172</v>
      </c>
      <c r="AC6" s="135"/>
      <c r="AD6" s="135"/>
      <c r="AE6" s="135" t="s">
        <v>172</v>
      </c>
      <c r="AF6" s="135"/>
      <c r="AG6" s="135"/>
      <c r="AH6" s="135"/>
      <c r="AI6" s="135" t="s">
        <v>172</v>
      </c>
    </row>
    <row r="7" spans="1:35" ht="18.75" customHeight="1" x14ac:dyDescent="0.2">
      <c r="A7" s="141" t="s">
        <v>177</v>
      </c>
      <c r="B7" s="139">
        <f>NOV!B7 + 1.25 - (COUNTIF(E7:AH7, "VL") * 1) - (COUNTIF(E7:AH7, "HDL") * 0.5)</f>
        <v>3.75</v>
      </c>
      <c r="C7" s="140">
        <f>NOV!C7+ 0.416666666666666 - COUNTIF(E7:AH7, "SL")-(COUNTIF(E7:AH7, "HDSL") * 0.5)</f>
        <v>0.91666666666666208</v>
      </c>
      <c r="D7" s="138"/>
      <c r="E7" s="135"/>
      <c r="F7" s="135"/>
      <c r="G7" s="135"/>
      <c r="H7" s="135"/>
      <c r="I7" s="135"/>
      <c r="J7" s="135" t="s">
        <v>173</v>
      </c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 t="s">
        <v>172</v>
      </c>
      <c r="X7" s="135" t="s">
        <v>172</v>
      </c>
      <c r="Y7" s="135"/>
      <c r="Z7" s="135"/>
      <c r="AA7" s="135" t="s">
        <v>172</v>
      </c>
      <c r="AB7" s="135" t="s">
        <v>172</v>
      </c>
      <c r="AC7" s="135"/>
      <c r="AD7" s="135"/>
      <c r="AE7" s="135" t="s">
        <v>172</v>
      </c>
      <c r="AF7" s="135"/>
      <c r="AG7" s="135"/>
      <c r="AH7" s="135"/>
      <c r="AI7" s="135" t="s">
        <v>172</v>
      </c>
    </row>
    <row r="8" spans="1:35" ht="18.75" customHeight="1" x14ac:dyDescent="0.2">
      <c r="A8" s="141" t="s">
        <v>178</v>
      </c>
      <c r="B8" s="139">
        <f>NOV!B8 + 1.25 - (COUNTIF(E8:AH8, "VL") * 1) - (COUNTIF(E8:AH8, "HDL") * 0.5)</f>
        <v>6.5</v>
      </c>
      <c r="C8" s="140">
        <f>NOV!C8+ 0.416666666666666 - COUNTIF(E8:AH8, "SL")-(COUNTIF(E8:AH8, "HDSL") * 0.5)</f>
        <v>4.1666666666666652</v>
      </c>
      <c r="D8" s="138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 t="s">
        <v>172</v>
      </c>
      <c r="U8" s="127" t="s">
        <v>172</v>
      </c>
      <c r="V8" s="127" t="s">
        <v>172</v>
      </c>
      <c r="W8" s="127" t="s">
        <v>172</v>
      </c>
      <c r="X8" s="127"/>
      <c r="Y8" s="127"/>
      <c r="Z8" s="127"/>
      <c r="AA8" s="127" t="s">
        <v>172</v>
      </c>
      <c r="AB8" s="127" t="s">
        <v>172</v>
      </c>
      <c r="AC8" s="127"/>
      <c r="AD8" s="127"/>
      <c r="AE8" s="127"/>
      <c r="AF8" s="127"/>
      <c r="AG8" s="127"/>
      <c r="AH8" s="127"/>
      <c r="AI8" s="127" t="s">
        <v>172</v>
      </c>
    </row>
    <row r="9" spans="1:35" ht="18.75" customHeight="1" x14ac:dyDescent="0.2">
      <c r="A9" s="141" t="s">
        <v>162</v>
      </c>
      <c r="B9" s="139">
        <f>NOV!B9 + 1.25 - (COUNTIF(E9:AH9, "VL") * 1) - (COUNTIF(E9:AH9, "HDL") * 0.5)</f>
        <v>11.25</v>
      </c>
      <c r="C9" s="140">
        <f>NOV!C9+ 0.416666666666666 - COUNTIF(E9:AH9, "SL")-(COUNTIF(E9:AH9, "HDSL") * 0.5)</f>
        <v>4.0833333333333313</v>
      </c>
      <c r="D9" s="138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 t="s">
        <v>172</v>
      </c>
      <c r="AC9" s="127"/>
      <c r="AD9" s="127"/>
      <c r="AE9" s="127"/>
      <c r="AF9" s="127"/>
      <c r="AG9" s="127"/>
      <c r="AH9" s="127"/>
      <c r="AI9" s="127" t="s">
        <v>172</v>
      </c>
    </row>
    <row r="10" spans="1:35" ht="18.75" customHeight="1" x14ac:dyDescent="0.2">
      <c r="A10" s="141" t="s">
        <v>179</v>
      </c>
      <c r="B10" s="139">
        <f>NOV!B10 + 1.25 - (COUNTIF(E10:AH10, "VL") * 1) - (COUNTIF(E10:AH10, "HDL") * 0.5)</f>
        <v>6</v>
      </c>
      <c r="C10" s="140">
        <f>NOV!C10+ 0.416666666666666 - COUNTIF(E10:AH10, "SL")-(COUNTIF(E10:AH10, "HDSL") * 0.5)</f>
        <v>0.33333333333332815</v>
      </c>
      <c r="D10" s="138"/>
      <c r="E10" s="135"/>
      <c r="F10" s="135"/>
      <c r="G10" s="135"/>
      <c r="H10" s="135"/>
      <c r="I10" s="135" t="s">
        <v>173</v>
      </c>
      <c r="J10" s="135" t="s">
        <v>173</v>
      </c>
      <c r="K10" s="135"/>
      <c r="L10" s="135"/>
      <c r="M10" s="135"/>
      <c r="N10" s="135"/>
      <c r="O10" s="135"/>
      <c r="P10" s="135"/>
      <c r="Q10" s="135" t="s">
        <v>172</v>
      </c>
      <c r="R10" s="135"/>
      <c r="S10" s="135"/>
      <c r="T10" s="135"/>
      <c r="U10" s="135"/>
      <c r="V10" s="135"/>
      <c r="W10" s="135"/>
      <c r="X10" s="135" t="s">
        <v>172</v>
      </c>
      <c r="Y10" s="135"/>
      <c r="Z10" s="135"/>
      <c r="AA10" s="135" t="s">
        <v>172</v>
      </c>
      <c r="AB10" s="135"/>
      <c r="AC10" s="135"/>
      <c r="AD10" s="135"/>
      <c r="AE10" s="135" t="s">
        <v>172</v>
      </c>
      <c r="AF10" s="135"/>
      <c r="AG10" s="135"/>
      <c r="AH10" s="135"/>
      <c r="AI10" s="135"/>
    </row>
    <row r="11" spans="1:35" ht="18.75" customHeight="1" x14ac:dyDescent="0.2">
      <c r="A11" s="141" t="s">
        <v>151</v>
      </c>
      <c r="B11" s="139">
        <f>NOV!B11 + 1.25 - (COUNTIF(E11:AH11, "VL") * 1) - (COUNTIF(E11:AH11, "HDL") * 0.5)</f>
        <v>11.25</v>
      </c>
      <c r="C11" s="140">
        <f>NOV!C11+ 0.416666666666666 - COUNTIF(E11:AH11, "SL")-(COUNTIF(E11:AH11, "HDSL") * 0.5)</f>
        <v>0.25999999999999829</v>
      </c>
      <c r="D11" s="157">
        <f>NOV!D11- COUNTIF(E11:AH11, "SPL")</f>
        <v>5.1666666666666661</v>
      </c>
      <c r="E11" s="127"/>
      <c r="F11" s="127"/>
      <c r="G11" s="127" t="s">
        <v>174</v>
      </c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 t="s">
        <v>172</v>
      </c>
      <c r="AB11" s="127" t="s">
        <v>172</v>
      </c>
      <c r="AC11" s="127"/>
      <c r="AD11" s="127"/>
      <c r="AE11" s="127" t="s">
        <v>172</v>
      </c>
      <c r="AF11" s="127"/>
      <c r="AG11" s="127"/>
      <c r="AH11" s="127"/>
      <c r="AI11" s="127" t="s">
        <v>172</v>
      </c>
    </row>
    <row r="12" spans="1:35" ht="18.75" customHeight="1" x14ac:dyDescent="0.2">
      <c r="A12" s="141" t="s">
        <v>180</v>
      </c>
      <c r="B12" s="139">
        <f>NOV!B12 + 1.25 - (COUNTIF(E12:AH12, "VL") * 1) - (COUNTIF(E12:AH12, "HDL") * 0.5)</f>
        <v>4.5</v>
      </c>
      <c r="C12" s="140">
        <f>NOV!C12+ 0.416666666666666 - COUNTIF(E12:AH12, "SL")-(COUNTIF(E12:AH12, "HDSL") * 0.5)</f>
        <v>1.499999999999996</v>
      </c>
      <c r="D12" s="138"/>
      <c r="E12" s="127"/>
      <c r="F12" s="127" t="s">
        <v>173</v>
      </c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 t="s">
        <v>172</v>
      </c>
      <c r="X12" s="127"/>
      <c r="Y12" s="127"/>
      <c r="Z12" s="127"/>
      <c r="AA12" s="127" t="s">
        <v>172</v>
      </c>
      <c r="AB12" s="127" t="s">
        <v>172</v>
      </c>
      <c r="AC12" s="127"/>
      <c r="AD12" s="127"/>
      <c r="AE12" s="127"/>
      <c r="AF12" s="127"/>
      <c r="AG12" s="127"/>
      <c r="AH12" s="127"/>
      <c r="AI12" s="127" t="s">
        <v>172</v>
      </c>
    </row>
    <row r="13" spans="1:35" ht="18.75" customHeight="1" x14ac:dyDescent="0.2">
      <c r="A13" s="141" t="s">
        <v>181</v>
      </c>
      <c r="B13" s="139">
        <f>1.25*6- (COUNTIF(E13:AH13, "VL") * 1) - (COUNTIF(E13:AH13, "HDL") * 0.5)</f>
        <v>6.5</v>
      </c>
      <c r="C13" s="140">
        <f>0.416666666666666*6 - COUNTIF(E13:AH13, "SL")-(COUNTIF(E13:AH13, "HDSL") * 0.5)</f>
        <v>2.499999999999996</v>
      </c>
      <c r="D13" s="138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 t="s">
        <v>172</v>
      </c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</row>
    <row r="14" spans="1:35" ht="18.75" customHeight="1" x14ac:dyDescent="0.2">
      <c r="A14" s="141" t="s">
        <v>152</v>
      </c>
      <c r="B14" s="139">
        <f>NOV!B13 + 1.25 - (COUNTIF(E14:AH14, "VL") * 1) - (COUNTIF(E14:AH14, "HDL") * 0.5)</f>
        <v>7.625</v>
      </c>
      <c r="C14" s="140">
        <f>NOV!C13+ 0.416666666666666 - COUNTIF(E14:AH14, "SL")-(COUNTIF(E14:AH14, "HDSL") * 0.5)</f>
        <v>8.259999999999998</v>
      </c>
      <c r="D14" s="138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54" t="s">
        <v>173</v>
      </c>
      <c r="AC14" s="127"/>
      <c r="AD14" s="127"/>
      <c r="AE14" s="127"/>
      <c r="AF14" s="127"/>
      <c r="AG14" s="127"/>
      <c r="AH14" s="127"/>
      <c r="AI14" s="127"/>
    </row>
    <row r="15" spans="1:35" ht="18.75" customHeight="1" x14ac:dyDescent="0.2">
      <c r="A15" s="141" t="s">
        <v>170</v>
      </c>
      <c r="B15" s="139">
        <f>NOV!B14 + 1.25 - (COUNTIF(E15:AH15, "VL") * 1) - (COUNTIF(E15:AH15, "HDL") * 0.5)</f>
        <v>10</v>
      </c>
      <c r="C15" s="140">
        <f>NOV!C14+ 0.416666666666666 - COUNTIF(E15:AH15, "SL")-(COUNTIF(E15:AH15, "HDSL") * 0.5)</f>
        <v>0.16666666666666452</v>
      </c>
      <c r="D15" s="138"/>
      <c r="E15" s="127"/>
      <c r="F15" s="127"/>
      <c r="G15" s="127" t="s">
        <v>173</v>
      </c>
      <c r="H15" s="127"/>
      <c r="I15" s="127"/>
      <c r="J15" s="127" t="s">
        <v>175</v>
      </c>
      <c r="K15" s="127"/>
      <c r="L15" s="127"/>
      <c r="M15" s="127"/>
      <c r="N15" s="127"/>
      <c r="O15" s="127"/>
      <c r="P15" s="127" t="s">
        <v>172</v>
      </c>
      <c r="Q15" s="127" t="s">
        <v>172</v>
      </c>
      <c r="R15" s="127"/>
      <c r="S15" s="127"/>
      <c r="T15" s="127" t="s">
        <v>172</v>
      </c>
      <c r="U15" s="127"/>
      <c r="V15" s="127"/>
      <c r="W15" s="127"/>
      <c r="X15" s="127"/>
      <c r="Y15" s="127"/>
      <c r="Z15" s="127"/>
      <c r="AA15" s="127" t="s">
        <v>172</v>
      </c>
      <c r="AB15" s="127" t="s">
        <v>172</v>
      </c>
      <c r="AC15" s="127"/>
      <c r="AD15" s="127"/>
      <c r="AE15" s="127" t="s">
        <v>172</v>
      </c>
      <c r="AF15" s="127"/>
      <c r="AG15" s="127"/>
      <c r="AH15" s="127"/>
      <c r="AI15" s="127" t="s">
        <v>172</v>
      </c>
    </row>
    <row r="16" spans="1:35" ht="18.75" customHeight="1" x14ac:dyDescent="0.2">
      <c r="A16" s="141" t="s">
        <v>145</v>
      </c>
      <c r="B16" s="139">
        <f>NOV!B15 + 1.25 - (COUNTIF(E16:AH16, "VL") * 1) - (COUNTIF(E16:AH16, "HDL") * 0.5)</f>
        <v>0.75</v>
      </c>
      <c r="C16" s="140">
        <f>NOV!C15+ 0.416666666666666 - COUNTIF(E16:AH16, "SL")-(COUNTIF(E16:AH16, "HDSL") * 0.5)</f>
        <v>0.24999999999999822</v>
      </c>
      <c r="D16" s="138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 t="s">
        <v>173</v>
      </c>
      <c r="R16" s="127"/>
      <c r="S16" s="127"/>
      <c r="T16" s="127"/>
      <c r="U16" s="127"/>
      <c r="V16" s="127"/>
      <c r="W16" s="127"/>
      <c r="X16" s="127"/>
      <c r="Y16" s="127"/>
      <c r="Z16" s="127"/>
      <c r="AA16" s="127" t="s">
        <v>172</v>
      </c>
      <c r="AB16" s="127" t="s">
        <v>172</v>
      </c>
      <c r="AC16" s="127"/>
      <c r="AD16" s="127"/>
      <c r="AE16" s="127" t="s">
        <v>172</v>
      </c>
      <c r="AF16" s="127"/>
      <c r="AG16" s="127"/>
      <c r="AH16" s="127"/>
      <c r="AI16" s="127"/>
    </row>
    <row r="17" spans="1:35" ht="18.75" customHeight="1" x14ac:dyDescent="0.2">
      <c r="A17" s="141" t="s">
        <v>165</v>
      </c>
      <c r="B17" s="139">
        <f>NOV!B16 + 1.25 - (COUNTIF(E17:AH17, "VL") * 1) - (COUNTIF(E17:AH17, "HDL") * 0.5)</f>
        <v>11.25</v>
      </c>
      <c r="C17" s="140">
        <f>NOV!C16+ 0.416666666666666 - COUNTIF(E17:AH17, "SL")-(COUNTIF(E17:AH17, "HDSL") * 0.5)</f>
        <v>6.0833333333333321</v>
      </c>
      <c r="D17" s="138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 t="s">
        <v>172</v>
      </c>
      <c r="U17" s="127" t="s">
        <v>172</v>
      </c>
      <c r="V17" s="127" t="s">
        <v>172</v>
      </c>
      <c r="W17" s="127" t="s">
        <v>172</v>
      </c>
      <c r="X17" s="127" t="s">
        <v>172</v>
      </c>
      <c r="Y17" s="127"/>
      <c r="Z17" s="127"/>
      <c r="AA17" s="127" t="s">
        <v>172</v>
      </c>
      <c r="AB17" s="127" t="s">
        <v>172</v>
      </c>
      <c r="AC17" s="127"/>
      <c r="AD17" s="127"/>
      <c r="AE17" s="127" t="s">
        <v>172</v>
      </c>
      <c r="AF17" s="127"/>
      <c r="AG17" s="127"/>
      <c r="AH17" s="127"/>
      <c r="AI17" s="127" t="s">
        <v>172</v>
      </c>
    </row>
    <row r="18" spans="1:35" ht="18.75" customHeight="1" x14ac:dyDescent="0.2">
      <c r="A18" s="141" t="s">
        <v>150</v>
      </c>
      <c r="B18" s="139">
        <f>NOV!B17 + 1.25 - (COUNTIF(E18:AH18, "VL") * 1) - (COUNTIF(E18:AH18, "HDL") * 0.5)</f>
        <v>15.25</v>
      </c>
      <c r="C18" s="140">
        <f>NOV!C17+ 0.416666666666666 - COUNTIF(E18:AH18, "SL")-(COUNTIF(E18:AH18, "HDSL") * 0.5)</f>
        <v>0.25999999999999801</v>
      </c>
      <c r="D18" s="138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 t="s">
        <v>173</v>
      </c>
      <c r="AB18" s="127"/>
      <c r="AC18" s="127"/>
      <c r="AD18" s="127"/>
      <c r="AE18" s="127" t="s">
        <v>173</v>
      </c>
      <c r="AF18" s="127"/>
      <c r="AG18" s="127"/>
      <c r="AH18" s="127"/>
      <c r="AI18" s="154" t="s">
        <v>172</v>
      </c>
    </row>
    <row r="19" spans="1:35" ht="18.75" customHeight="1" x14ac:dyDescent="0.2">
      <c r="A19" s="141" t="s">
        <v>147</v>
      </c>
      <c r="B19" s="139">
        <f>NOV!B18 + 1.25 - (COUNTIF(E19:AH19, "VL") * 1) - (COUNTIF(E19:AH19, "HDL") * 0.5)</f>
        <v>19.5</v>
      </c>
      <c r="C19" s="140">
        <f>NOV!C18+ 0.416666666666666 - COUNTIF(E19:AH19, "SL")-(COUNTIF(E19:AH19, "HDSL") * 0.5)</f>
        <v>4.68</v>
      </c>
      <c r="D19" s="138"/>
      <c r="E19" s="127"/>
      <c r="F19" s="127"/>
      <c r="G19" s="127"/>
      <c r="H19" s="127"/>
      <c r="I19" s="127"/>
      <c r="J19" s="127" t="s">
        <v>173</v>
      </c>
      <c r="K19" s="127"/>
      <c r="L19" s="127"/>
      <c r="M19" s="127"/>
      <c r="N19" s="127" t="s">
        <v>173</v>
      </c>
      <c r="O19" s="127"/>
      <c r="P19" s="127" t="s">
        <v>172</v>
      </c>
      <c r="Q19" s="127"/>
      <c r="R19" s="127"/>
      <c r="S19" s="127"/>
      <c r="T19" s="127"/>
      <c r="U19" s="127"/>
      <c r="V19" s="127" t="s">
        <v>173</v>
      </c>
      <c r="W19" s="127" t="s">
        <v>173</v>
      </c>
      <c r="X19" s="127" t="s">
        <v>173</v>
      </c>
      <c r="Y19" s="127"/>
      <c r="Z19" s="127"/>
      <c r="AA19" s="127" t="s">
        <v>172</v>
      </c>
      <c r="AB19" s="127" t="s">
        <v>172</v>
      </c>
      <c r="AC19" s="127"/>
      <c r="AD19" s="127"/>
      <c r="AE19" s="127" t="s">
        <v>172</v>
      </c>
      <c r="AF19" s="127"/>
      <c r="AG19" s="127"/>
      <c r="AH19" s="127"/>
      <c r="AI19" s="127" t="s">
        <v>172</v>
      </c>
    </row>
    <row r="20" spans="1:35" ht="18.75" customHeight="1" x14ac:dyDescent="0.2">
      <c r="A20" s="141" t="s">
        <v>168</v>
      </c>
      <c r="B20" s="139">
        <f>NOV!B19 + 1.25 - (COUNTIF(E20:AH20, "VL") * 1) - (COUNTIF(E20:AH20, "HDL") * 0.5)</f>
        <v>10</v>
      </c>
      <c r="C20" s="140">
        <f>NOV!C19+ 0.416666666666666 - COUNTIF(E20:AH20, "SL")-(COUNTIF(E20:AH20, "HDSL") * 0.5)</f>
        <v>0.1666666666666643</v>
      </c>
      <c r="D20" s="138"/>
      <c r="E20" s="127"/>
      <c r="F20" s="127" t="s">
        <v>173</v>
      </c>
      <c r="G20" s="127"/>
      <c r="H20" s="127"/>
      <c r="I20" s="127" t="s">
        <v>173</v>
      </c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 t="s">
        <v>172</v>
      </c>
      <c r="U20" s="127"/>
      <c r="V20" s="127" t="s">
        <v>175</v>
      </c>
      <c r="W20" s="127"/>
      <c r="X20" s="127" t="s">
        <v>172</v>
      </c>
      <c r="Y20" s="127"/>
      <c r="Z20" s="127"/>
      <c r="AA20" s="127" t="s">
        <v>172</v>
      </c>
      <c r="AB20" s="127" t="s">
        <v>172</v>
      </c>
      <c r="AC20" s="127"/>
      <c r="AD20" s="127"/>
      <c r="AE20" s="127" t="s">
        <v>172</v>
      </c>
      <c r="AF20" s="127"/>
      <c r="AG20" s="127"/>
      <c r="AH20" s="127"/>
      <c r="AI20" s="127"/>
    </row>
    <row r="21" spans="1:35" ht="18.75" customHeight="1" x14ac:dyDescent="0.2">
      <c r="A21" s="141" t="s">
        <v>156</v>
      </c>
      <c r="B21" s="139">
        <f>NOV!B20 + 1.25 - (COUNTIF(E21:AH21, "VL") * 1) - (COUNTIF(E21:AH21, "HDL") * 0.5)</f>
        <v>0.25</v>
      </c>
      <c r="C21" s="140">
        <f>NOV!C20+ 0.416666666666666 - COUNTIF(E21:AH21, "SL")-(COUNTIF(E21:AH21, "HDSL") * 0.5)</f>
        <v>-0.25000000000000266</v>
      </c>
      <c r="D21" s="138"/>
      <c r="E21" s="127"/>
      <c r="F21" s="127" t="s">
        <v>182</v>
      </c>
      <c r="G21" s="127" t="s">
        <v>173</v>
      </c>
      <c r="H21" s="127" t="s">
        <v>172</v>
      </c>
      <c r="I21" s="127" t="s">
        <v>172</v>
      </c>
      <c r="J21" s="127" t="s">
        <v>182</v>
      </c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 t="s">
        <v>172</v>
      </c>
      <c r="AB21" s="127"/>
      <c r="AC21" s="127"/>
      <c r="AD21" s="127"/>
      <c r="AE21" s="127"/>
      <c r="AF21" s="127"/>
      <c r="AG21" s="127"/>
      <c r="AH21" s="127"/>
      <c r="AI21" s="127"/>
    </row>
    <row r="22" spans="1:35" ht="18.75" customHeight="1" x14ac:dyDescent="0.2">
      <c r="A22" s="125" t="s">
        <v>183</v>
      </c>
      <c r="B22" s="139">
        <f>NOV!B21 + 1.25 - (COUNTIF(E22:AH22, "VL") * 1) - (COUNTIF(E22:AH22, "HDL") * 0.5)</f>
        <v>5</v>
      </c>
      <c r="C22" s="140">
        <f>NOV!C21+ 0.416666666666666 - COUNTIF(E22:AH22, "SL")-(COUNTIF(E22:AH22, "HDSL") * 0.5)</f>
        <v>1.3333333333333282</v>
      </c>
      <c r="D22" s="138">
        <f>NOV!D21- COUNTIF(E22:AH22, "SPL")</f>
        <v>0</v>
      </c>
      <c r="E22" s="127"/>
      <c r="F22" s="127"/>
      <c r="G22" s="127"/>
      <c r="H22" s="127"/>
      <c r="I22" s="127" t="s">
        <v>174</v>
      </c>
      <c r="J22" s="127" t="s">
        <v>173</v>
      </c>
      <c r="K22" s="127"/>
      <c r="L22" s="127"/>
      <c r="M22" s="127"/>
      <c r="N22" s="127"/>
      <c r="O22" s="127"/>
      <c r="P22" s="127" t="s">
        <v>174</v>
      </c>
      <c r="Q22" s="127"/>
      <c r="R22" s="127"/>
      <c r="S22" s="127"/>
      <c r="T22" s="127"/>
      <c r="U22" s="127"/>
      <c r="V22" s="127" t="s">
        <v>173</v>
      </c>
      <c r="W22" s="127"/>
      <c r="X22" s="127" t="s">
        <v>174</v>
      </c>
      <c r="Y22" s="127"/>
      <c r="Z22" s="127"/>
      <c r="AA22" s="127" t="s">
        <v>172</v>
      </c>
      <c r="AB22" s="127" t="s">
        <v>172</v>
      </c>
      <c r="AC22" s="127"/>
      <c r="AD22" s="127"/>
      <c r="AE22" s="127" t="s">
        <v>172</v>
      </c>
      <c r="AF22" s="127"/>
      <c r="AG22" s="127"/>
      <c r="AH22" s="127"/>
      <c r="AI22" s="127" t="s">
        <v>173</v>
      </c>
    </row>
    <row r="23" spans="1:35" s="155" customFormat="1" ht="18.75" customHeight="1" x14ac:dyDescent="0.2">
      <c r="A23" s="153" t="s">
        <v>146</v>
      </c>
      <c r="B23" s="139">
        <f>NOV!B22 + 1.25 - (COUNTIF(E23:AH23, "VL") * 1) - (COUNTIF(E23:AH23, "HDL") * 0.5)</f>
        <v>7</v>
      </c>
      <c r="C23" s="140">
        <f>NOV!C22+ 0.416666666666666 - COUNTIF(E23:AH23, "SL")-(COUNTIF(E23:AH23, "HDSL") * 0.5)</f>
        <v>0.67999999999999883</v>
      </c>
      <c r="D23" s="138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 t="s">
        <v>172</v>
      </c>
      <c r="U23" s="154"/>
      <c r="V23" s="154"/>
      <c r="W23" s="154"/>
      <c r="X23" s="154"/>
      <c r="Y23" s="154"/>
      <c r="Z23" s="154"/>
      <c r="AA23" s="154" t="s">
        <v>172</v>
      </c>
      <c r="AB23" s="154" t="s">
        <v>172</v>
      </c>
      <c r="AC23" s="154"/>
      <c r="AD23" s="154"/>
      <c r="AE23" s="154" t="s">
        <v>172</v>
      </c>
      <c r="AF23" s="154"/>
      <c r="AG23" s="154"/>
      <c r="AH23" s="154"/>
      <c r="AI23" s="154" t="s">
        <v>172</v>
      </c>
    </row>
    <row r="24" spans="1:35" ht="18.75" customHeight="1" x14ac:dyDescent="0.2">
      <c r="A24" s="125" t="s">
        <v>184</v>
      </c>
      <c r="B24" s="139">
        <f>NOV!B23 + 1.25 - (COUNTIF(E24:AH24, "VL") * 1) - (COUNTIF(E24:AI24, "HDL") * 0.5)</f>
        <v>6</v>
      </c>
      <c r="C24" s="140">
        <f>NOV!C23+ 0.416666666666666 - COUNTIF(E24:AH24, "SL")-(COUNTIF(E24:AH24, "HDSL") * 0.5)</f>
        <v>1.3333333333333282</v>
      </c>
      <c r="D24" s="138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 t="s">
        <v>173</v>
      </c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54" t="s">
        <v>172</v>
      </c>
      <c r="AB24" s="154" t="s">
        <v>172</v>
      </c>
      <c r="AC24" s="127"/>
      <c r="AD24" s="127"/>
      <c r="AE24" s="127" t="s">
        <v>172</v>
      </c>
      <c r="AF24" s="127"/>
      <c r="AG24" s="127"/>
      <c r="AH24" s="127"/>
      <c r="AI24" s="127" t="s">
        <v>172</v>
      </c>
    </row>
    <row r="25" spans="1:35" ht="18.75" customHeight="1" x14ac:dyDescent="0.2">
      <c r="A25" s="141" t="s">
        <v>157</v>
      </c>
      <c r="B25" s="139">
        <f>NOV!B24 + 1.25 - (COUNTIF(E25:AH25, "VL") * 1) - (COUNTIF(E25:AH25, "HDL") * 0.5)</f>
        <v>6.25</v>
      </c>
      <c r="C25" s="140">
        <f>NOV!C24+ 0.416666666666666 - COUNTIF(E25:AH25, "SL")-(COUNTIF(E25:AH25, "HDSL") * 0.5)</f>
        <v>0.24999999999999756</v>
      </c>
      <c r="D25" s="138"/>
      <c r="E25" s="127"/>
      <c r="F25" s="127"/>
      <c r="G25" s="127"/>
      <c r="H25" s="127"/>
      <c r="I25" s="127"/>
      <c r="J25" s="127" t="s">
        <v>175</v>
      </c>
      <c r="K25" s="127"/>
      <c r="L25" s="127"/>
      <c r="M25" s="127"/>
      <c r="N25" s="127" t="s">
        <v>175</v>
      </c>
      <c r="O25" s="127"/>
      <c r="P25" s="127"/>
      <c r="Q25" s="127" t="s">
        <v>172</v>
      </c>
      <c r="R25" s="127"/>
      <c r="S25" s="127"/>
      <c r="T25" s="127" t="s">
        <v>175</v>
      </c>
      <c r="U25" s="127"/>
      <c r="V25" s="127"/>
      <c r="W25" s="127"/>
      <c r="X25" s="127"/>
      <c r="Y25" s="127"/>
      <c r="Z25" s="127"/>
      <c r="AA25" s="127"/>
      <c r="AB25" s="127" t="s">
        <v>172</v>
      </c>
      <c r="AC25" s="127"/>
      <c r="AD25" s="127"/>
      <c r="AE25" s="127"/>
      <c r="AF25" s="127"/>
      <c r="AG25" s="127"/>
      <c r="AH25" s="127"/>
      <c r="AI25" s="127" t="s">
        <v>172</v>
      </c>
    </row>
    <row r="26" spans="1:35" ht="18.75" customHeight="1" x14ac:dyDescent="0.2">
      <c r="A26" s="141" t="s">
        <v>161</v>
      </c>
      <c r="B26" s="139">
        <f>NOV!B25 + 1.25 - (COUNTIF(E26:AH26, "VL") * 1) - (COUNTIF(E26:AH26, "HDL") * 0.5)</f>
        <v>0</v>
      </c>
      <c r="C26" s="140">
        <f>NOV!C25+ 0.416666666666666 - COUNTIF(E26:AH26, "SL")-(COUNTIF(E26:AH26, "HDSL") * 0.5)</f>
        <v>-2.7200464103316335E-15</v>
      </c>
      <c r="D26" s="138"/>
      <c r="E26" s="127"/>
      <c r="F26" s="127"/>
      <c r="G26" s="127" t="s">
        <v>182</v>
      </c>
      <c r="H26" s="127"/>
      <c r="I26" s="127" t="s">
        <v>172</v>
      </c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 t="s">
        <v>175</v>
      </c>
      <c r="AG26" s="127"/>
      <c r="AH26" s="127"/>
      <c r="AI26" s="127"/>
    </row>
    <row r="27" spans="1:35" ht="18.75" customHeight="1" x14ac:dyDescent="0.2">
      <c r="A27" s="141" t="s">
        <v>167</v>
      </c>
      <c r="B27" s="139">
        <f>NOV!B26 + 1.25 - (COUNTIF(E27:AH27, "VL") * 1) - (COUNTIF(E27:AH27, "HDL") * 0.5)</f>
        <v>8.25</v>
      </c>
      <c r="C27" s="140">
        <f>NOV!C26+ 0.416666666666666 - COUNTIF(E27:AH27, "SL")-(COUNTIF(E27:AH27, "HDSL") * 0.5)</f>
        <v>-0.41666666666666785</v>
      </c>
      <c r="D27" s="138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 t="s">
        <v>175</v>
      </c>
      <c r="R27" s="127"/>
      <c r="S27" s="127"/>
      <c r="T27" s="127" t="s">
        <v>172</v>
      </c>
      <c r="U27" s="127" t="s">
        <v>173</v>
      </c>
      <c r="V27" s="127" t="s">
        <v>173</v>
      </c>
      <c r="W27" s="127" t="s">
        <v>173</v>
      </c>
      <c r="X27" s="127" t="s">
        <v>173</v>
      </c>
      <c r="Y27" s="127"/>
      <c r="Z27" s="127"/>
      <c r="AA27" s="127" t="s">
        <v>172</v>
      </c>
      <c r="AB27" s="127" t="s">
        <v>172</v>
      </c>
      <c r="AC27" s="127"/>
      <c r="AD27" s="127"/>
      <c r="AE27" s="127" t="s">
        <v>172</v>
      </c>
      <c r="AF27" s="127"/>
      <c r="AG27" s="127"/>
      <c r="AH27" s="127"/>
      <c r="AI27" s="127" t="s">
        <v>172</v>
      </c>
    </row>
    <row r="28" spans="1:35" ht="18.75" customHeight="1" x14ac:dyDescent="0.2">
      <c r="A28" s="141" t="s">
        <v>159</v>
      </c>
      <c r="B28" s="139">
        <f>NOV!B27 + 1.25 - (COUNTIF(E28:AH28, "VL") * 1) - (COUNTIF(E28:AH28, "HDL") * 0.5)</f>
        <v>14</v>
      </c>
      <c r="C28" s="140">
        <f>NOV!C27+ 0.416666666666666 - COUNTIF(E28:AH28, "SL")-(COUNTIF(E28:AH28, "HDSL") * 0.5)</f>
        <v>0.33333333333333082</v>
      </c>
      <c r="D28" s="138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 t="s">
        <v>173</v>
      </c>
      <c r="Q28" s="127"/>
      <c r="R28" s="127"/>
      <c r="S28" s="127"/>
      <c r="T28" s="127"/>
      <c r="U28" s="127"/>
      <c r="V28" s="127"/>
      <c r="W28" s="127" t="s">
        <v>172</v>
      </c>
      <c r="X28" s="127"/>
      <c r="Y28" s="127"/>
      <c r="Z28" s="127"/>
      <c r="AA28" s="127"/>
      <c r="AB28" s="127"/>
      <c r="AC28" s="127"/>
      <c r="AD28" s="127"/>
      <c r="AE28" s="127"/>
      <c r="AF28" s="127"/>
      <c r="AG28" s="127" t="s">
        <v>172</v>
      </c>
      <c r="AH28" s="127"/>
      <c r="AI28" s="127" t="s">
        <v>172</v>
      </c>
    </row>
    <row r="29" spans="1:35" ht="18.75" customHeight="1" x14ac:dyDescent="0.2">
      <c r="A29" s="141" t="s">
        <v>185</v>
      </c>
      <c r="B29" s="139">
        <f>NOV!B28 + 1.25 - (COUNTIF(E29:AH29, "VL") * 1) - (COUNTIF(E29:AH29, "HDL") * 0.5)</f>
        <v>8.5</v>
      </c>
      <c r="C29" s="140">
        <f>NOV!C28+ 0.416666666666666 - COUNTIF(E29:AH29, "SL")-(COUNTIF(E29:AH29, "HDSL") * 0.5)</f>
        <v>1.4999999999999973</v>
      </c>
      <c r="D29" s="138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 t="s">
        <v>173</v>
      </c>
      <c r="U29" s="127" t="s">
        <v>173</v>
      </c>
      <c r="V29" s="127"/>
      <c r="W29" s="127"/>
      <c r="X29" s="127" t="s">
        <v>173</v>
      </c>
      <c r="Y29" s="127"/>
      <c r="Z29" s="127"/>
      <c r="AA29" s="127" t="s">
        <v>172</v>
      </c>
      <c r="AB29" s="127" t="s">
        <v>172</v>
      </c>
      <c r="AC29" s="127"/>
      <c r="AD29" s="127"/>
      <c r="AE29" s="127" t="s">
        <v>172</v>
      </c>
      <c r="AF29" s="127"/>
      <c r="AG29" s="127"/>
      <c r="AH29" s="127"/>
      <c r="AI29" s="127" t="s">
        <v>172</v>
      </c>
    </row>
    <row r="30" spans="1:35" ht="18.75" customHeight="1" x14ac:dyDescent="0.2">
      <c r="A30" s="141" t="s">
        <v>148</v>
      </c>
      <c r="B30" s="139">
        <f>NOV!B29 + 1.25 - (COUNTIF(E30:AH30, "VL") * 1) - (COUNTIF(E30:AH30, "HDL") * 0.5)</f>
        <v>11.5</v>
      </c>
      <c r="C30" s="140">
        <f>NOV!C29+ 0.416666666666666 - COUNTIF(E30:AH30, "SL")-(COUNTIF(E30:AH30, "HDSL") * 0.5)</f>
        <v>0.67999999999999705</v>
      </c>
      <c r="D30" s="138"/>
      <c r="E30" s="127"/>
      <c r="F30" s="127"/>
      <c r="G30" s="127"/>
      <c r="H30" s="127"/>
      <c r="I30" s="127"/>
      <c r="J30" s="127" t="s">
        <v>173</v>
      </c>
      <c r="K30" s="127"/>
      <c r="L30" s="127"/>
      <c r="M30" s="127"/>
      <c r="N30" s="127"/>
      <c r="O30" s="127"/>
      <c r="P30" s="127" t="s">
        <v>172</v>
      </c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</row>
    <row r="31" spans="1:35" ht="18.75" customHeight="1" x14ac:dyDescent="0.2">
      <c r="A31" s="141" t="s">
        <v>171</v>
      </c>
      <c r="B31" s="139">
        <f>NOV!B30 + 1.25 - (COUNTIF(E31:AH31, "VL") * 1) - (COUNTIF(E31:AI31, "HDL") * 0.5)</f>
        <v>16.5</v>
      </c>
      <c r="C31" s="140">
        <f>NOV!C30+ 0.416666666666666 - COUNTIF(E31:AI31, "SL")-(COUNTIF(E31:AH31, "HDSL") * 0.5)</f>
        <v>2.8333333333333313</v>
      </c>
      <c r="D31" s="138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 t="s">
        <v>173</v>
      </c>
      <c r="V31" s="127"/>
      <c r="W31" s="127"/>
      <c r="X31" s="127"/>
      <c r="Y31" s="127"/>
      <c r="Z31" s="127"/>
      <c r="AA31" s="127"/>
      <c r="AB31" s="127" t="s">
        <v>173</v>
      </c>
      <c r="AC31" s="127"/>
      <c r="AD31" s="127"/>
      <c r="AE31" s="127"/>
      <c r="AF31" s="127"/>
      <c r="AG31" s="127"/>
      <c r="AH31" s="127"/>
      <c r="AI31" s="127" t="s">
        <v>173</v>
      </c>
    </row>
    <row r="32" spans="1:35" ht="18.75" customHeight="1" x14ac:dyDescent="0.2">
      <c r="A32" s="125" t="s">
        <v>186</v>
      </c>
      <c r="B32" s="139">
        <f>NOV!B31 + 1.25 - (COUNTIF(E32:AH32, "VL") * 1) - (COUNTIF(E32:AH32, "HDL") * 0.5)</f>
        <v>6.5</v>
      </c>
      <c r="C32" s="140">
        <f>NOV!C31+ 0.416666666666666 - COUNTIF(E32:AH32, "SL")-(COUNTIF(E32:AH32, "HDSL") * 0.5)</f>
        <v>0.32999999999999829</v>
      </c>
      <c r="D32" s="138"/>
      <c r="E32" s="127"/>
      <c r="F32" s="127"/>
      <c r="G32" s="127"/>
      <c r="H32" s="127"/>
      <c r="I32" s="127"/>
      <c r="J32" s="127" t="s">
        <v>182</v>
      </c>
      <c r="K32" s="127"/>
      <c r="L32" s="127"/>
      <c r="M32" s="127"/>
      <c r="N32" s="127"/>
      <c r="O32" s="127"/>
      <c r="P32" s="127" t="s">
        <v>173</v>
      </c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 t="s">
        <v>173</v>
      </c>
      <c r="AB32" s="127" t="s">
        <v>173</v>
      </c>
      <c r="AC32" s="127"/>
      <c r="AD32" s="127"/>
      <c r="AE32" s="127" t="s">
        <v>172</v>
      </c>
      <c r="AF32" s="127"/>
      <c r="AG32" s="127"/>
      <c r="AH32" s="127"/>
      <c r="AI32" s="127"/>
    </row>
    <row r="33" spans="1:35" ht="18.75" customHeight="1" x14ac:dyDescent="0.2">
      <c r="A33" s="141" t="s">
        <v>187</v>
      </c>
      <c r="B33" s="139">
        <f>NOV!B32 + 1.25 - (COUNTIF(E33:AH33, "VL") * 1) - (COUNTIF(E33:AH33, "HDL") * 0.5)</f>
        <v>3</v>
      </c>
      <c r="C33" s="140">
        <f>NOV!C32+ 0.416666666666666 - COUNTIF(E33:AH33, "SL")-(COUNTIF(E33:AH33, "HDSL") * 0.5)</f>
        <v>1.3299999999999983</v>
      </c>
      <c r="D33" s="138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 t="s">
        <v>173</v>
      </c>
      <c r="Y33" s="127"/>
      <c r="Z33" s="127"/>
      <c r="AA33" s="127" t="s">
        <v>172</v>
      </c>
      <c r="AB33" s="127" t="s">
        <v>172</v>
      </c>
      <c r="AC33" s="127"/>
      <c r="AD33" s="127"/>
      <c r="AE33" s="127" t="s">
        <v>173</v>
      </c>
      <c r="AF33" s="127"/>
      <c r="AG33" s="127"/>
      <c r="AH33" s="127"/>
      <c r="AI33" s="127" t="s">
        <v>173</v>
      </c>
    </row>
    <row r="34" spans="1:35" ht="18.75" customHeight="1" x14ac:dyDescent="0.2">
      <c r="A34" s="141" t="s">
        <v>188</v>
      </c>
      <c r="B34" s="139">
        <f>1.25*6- (COUNTIF(E34:AI34, "VL") * 1) - (COUNTIF(E34:AH34, "HDL") * 0.5)</f>
        <v>5.5</v>
      </c>
      <c r="C34" s="140">
        <f>0.416666666666666*6 - COUNTIF(E34:AH34, "SL")-(COUNTIF(E34:AH34, "HDSL") * 0.5)</f>
        <v>0.499999999999996</v>
      </c>
      <c r="D34" s="138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 t="s">
        <v>173</v>
      </c>
      <c r="AB34" s="127" t="s">
        <v>173</v>
      </c>
      <c r="AC34" s="127"/>
      <c r="AD34" s="127"/>
      <c r="AE34" s="127" t="s">
        <v>172</v>
      </c>
      <c r="AF34" s="127"/>
      <c r="AG34" s="127"/>
      <c r="AH34" s="127"/>
      <c r="AI34" s="127" t="s">
        <v>172</v>
      </c>
    </row>
    <row r="35" spans="1:35" ht="18.75" customHeight="1" x14ac:dyDescent="0.2">
      <c r="A35" s="141" t="s">
        <v>154</v>
      </c>
      <c r="B35" s="139">
        <f>NOV!B33 + 1.25 - (COUNTIF(E35:AH35, "VL") * 1) - (COUNTIF(E35:AH35, "HDL") * 0.5)</f>
        <v>8.25</v>
      </c>
      <c r="C35" s="140">
        <f>NOV!C33+ 0.416666666666666 - COUNTIF(E35:AH35, "SL")-(COUNTIF(E35:AH35, "HDSL") * 0.5)</f>
        <v>0.74999999999999911</v>
      </c>
      <c r="D35" s="138"/>
      <c r="E35" s="151"/>
      <c r="F35" s="151"/>
      <c r="G35" s="151" t="s">
        <v>172</v>
      </c>
      <c r="H35" s="151"/>
      <c r="I35" s="151"/>
      <c r="J35" s="151"/>
      <c r="K35" s="151"/>
      <c r="L35" s="151"/>
      <c r="M35" s="151"/>
      <c r="N35" s="151"/>
      <c r="O35" s="151" t="s">
        <v>173</v>
      </c>
      <c r="P35" s="151" t="s">
        <v>173</v>
      </c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 t="s">
        <v>173</v>
      </c>
      <c r="AB35" s="151"/>
      <c r="AC35" s="151"/>
      <c r="AD35" s="151"/>
      <c r="AE35" s="151"/>
      <c r="AF35" s="151"/>
      <c r="AG35" s="151"/>
      <c r="AH35" s="151"/>
      <c r="AI35" s="151" t="s">
        <v>173</v>
      </c>
    </row>
    <row r="36" spans="1:35" ht="18.75" customHeight="1" x14ac:dyDescent="0.2">
      <c r="A36" s="125" t="s">
        <v>189</v>
      </c>
      <c r="B36" s="139">
        <f>NOV!B34 + 1.25 - (COUNTIF(E36:AH36, "VL") * 1) - (COUNTIF(E36:AH36, "HDL") * 0.5)</f>
        <v>6</v>
      </c>
      <c r="C36" s="140">
        <f>NOV!C34+ 0.416666666666666 - COUNTIF(E36:AH36, "SL")-(COUNTIF(E36:AH36, "HDSL") * 0.5)</f>
        <v>0.33333333333332815</v>
      </c>
      <c r="D36" s="138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 t="s">
        <v>173</v>
      </c>
      <c r="Q36" s="149"/>
      <c r="R36" s="149"/>
      <c r="S36" s="149"/>
      <c r="T36" s="149"/>
      <c r="U36" s="149"/>
      <c r="V36" s="149"/>
      <c r="W36" s="149"/>
      <c r="X36" s="149" t="s">
        <v>172</v>
      </c>
      <c r="Y36" s="149"/>
      <c r="Z36" s="149"/>
      <c r="AA36" s="149" t="s">
        <v>172</v>
      </c>
      <c r="AB36" s="149" t="s">
        <v>172</v>
      </c>
      <c r="AC36" s="149"/>
      <c r="AD36" s="149"/>
      <c r="AE36" s="149" t="s">
        <v>172</v>
      </c>
      <c r="AF36" s="149"/>
      <c r="AG36" s="149"/>
      <c r="AH36" s="149"/>
      <c r="AI36" s="149" t="s">
        <v>172</v>
      </c>
    </row>
    <row r="37" spans="1:35" ht="18.75" customHeight="1" x14ac:dyDescent="0.2">
      <c r="A37" s="141" t="s">
        <v>153</v>
      </c>
      <c r="B37" s="139">
        <f>NOV!B35 + 1.25 - (COUNTIF(E37:AH37, "VL") * 1) - (COUNTIF(E37:AH37, "HDL") * 0.5)</f>
        <v>20.75</v>
      </c>
      <c r="C37" s="140">
        <f>NOV!C35+ 0.416666666666666 - COUNTIF(E37:AH37, "SL")-(COUNTIF(E37:AH37, "HDSL") * 0.5)</f>
        <v>6.5833333333333339</v>
      </c>
      <c r="D37" s="138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49"/>
      <c r="AD37" s="149"/>
      <c r="AE37" s="149"/>
      <c r="AF37" s="149"/>
      <c r="AG37" s="149"/>
      <c r="AH37" s="152"/>
      <c r="AI37" s="152"/>
    </row>
    <row r="38" spans="1:35" ht="18.75" customHeight="1" x14ac:dyDescent="0.2">
      <c r="A38" s="141" t="s">
        <v>155</v>
      </c>
      <c r="B38" s="139">
        <f>NOV!B36 + 1.25 - (COUNTIF(E38:AH38, "VL") * 1) - (COUNTIF(E38:AH38, "HDL") * 0.5)</f>
        <v>0.25</v>
      </c>
      <c r="C38" s="140">
        <f>NOV!C36+ 0.416666666666666 - COUNTIF(E38:AH38, "SL")-(COUNTIF(E38:AH38, "HDSL") * 0.5)</f>
        <v>1.2499999999999991</v>
      </c>
      <c r="D38" s="138"/>
      <c r="E38" s="127"/>
      <c r="F38" s="127"/>
      <c r="G38" s="127" t="s">
        <v>172</v>
      </c>
      <c r="H38" s="127" t="s">
        <v>172</v>
      </c>
      <c r="I38" s="127"/>
      <c r="J38" s="127"/>
      <c r="K38" s="127"/>
      <c r="L38" s="127"/>
      <c r="M38" s="127" t="s">
        <v>173</v>
      </c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 t="s">
        <v>182</v>
      </c>
      <c r="Y38" s="127"/>
      <c r="Z38" s="127"/>
      <c r="AA38" s="127"/>
      <c r="AB38" s="127"/>
      <c r="AC38" s="127"/>
      <c r="AD38" s="127"/>
      <c r="AE38" s="127" t="s">
        <v>172</v>
      </c>
      <c r="AF38" s="127" t="s">
        <v>172</v>
      </c>
      <c r="AG38" s="127"/>
      <c r="AH38" s="127"/>
      <c r="AI38" s="127"/>
    </row>
    <row r="39" spans="1:35" ht="18.75" customHeight="1" x14ac:dyDescent="0.2">
      <c r="A39" s="141" t="s">
        <v>190</v>
      </c>
      <c r="B39" s="139">
        <f>1.25*6- (COUNTIF(E39:AH39, "VL") * 1) - (COUNTIF(E39:AH39, "HDL") * 0.5)</f>
        <v>4.5</v>
      </c>
      <c r="C39" s="140">
        <f>0.416666666666666*6 - COUNTIF(E39:AH39, "SL")-(COUNTIF(E39:AH39, "HDSL") * 0.5)</f>
        <v>2.499999999999996</v>
      </c>
      <c r="D39" s="138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 t="s">
        <v>172</v>
      </c>
      <c r="AB39" s="127" t="s">
        <v>172</v>
      </c>
      <c r="AC39" s="127"/>
      <c r="AD39" s="127"/>
      <c r="AE39" s="127" t="s">
        <v>172</v>
      </c>
      <c r="AF39" s="127"/>
      <c r="AG39" s="127"/>
      <c r="AH39" s="127"/>
      <c r="AI39" s="127" t="s">
        <v>172</v>
      </c>
    </row>
    <row r="40" spans="1:35" ht="18.75" customHeight="1" x14ac:dyDescent="0.2">
      <c r="A40" s="141" t="s">
        <v>166</v>
      </c>
      <c r="B40" s="139">
        <f>NOV!B37 + 1.25 - (COUNTIF(E40:AH40, "VL") * 1) - (COUNTIF(E40:AH40, "HDL") * 0.5)</f>
        <v>9.25</v>
      </c>
      <c r="C40" s="140">
        <f>NOV!C37+ 0.416666666666666 - COUNTIF(E40:AH40, "SL")-(COUNTIF(E40:AH40, "HDSL") * 0.5)</f>
        <v>8.3333333333330817E-2</v>
      </c>
      <c r="D40" s="138"/>
      <c r="E40" s="127"/>
      <c r="F40" s="127"/>
      <c r="G40" s="127"/>
      <c r="H40" s="127"/>
      <c r="I40" s="127"/>
      <c r="J40" s="127" t="s">
        <v>172</v>
      </c>
      <c r="K40" s="127"/>
      <c r="L40" s="127"/>
      <c r="M40" s="127" t="s">
        <v>173</v>
      </c>
      <c r="N40" s="127"/>
      <c r="O40" s="127"/>
      <c r="P40" s="127"/>
      <c r="Q40" s="127"/>
      <c r="R40" s="127"/>
      <c r="S40" s="127"/>
      <c r="T40" s="127" t="s">
        <v>173</v>
      </c>
      <c r="U40" s="127"/>
      <c r="V40" s="127"/>
      <c r="W40" s="127"/>
      <c r="X40" s="127"/>
      <c r="Y40" s="127"/>
      <c r="Z40" s="127"/>
      <c r="AA40" s="127" t="s">
        <v>172</v>
      </c>
      <c r="AB40" s="127" t="s">
        <v>172</v>
      </c>
      <c r="AC40" s="127"/>
      <c r="AD40" s="127"/>
      <c r="AE40" s="127" t="s">
        <v>172</v>
      </c>
      <c r="AF40" s="127"/>
      <c r="AG40" s="127"/>
      <c r="AH40" s="127"/>
      <c r="AI40" s="127" t="s">
        <v>172</v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18830-F59C-45CE-AC09-ACB77A0F5F87}">
  <sheetPr codeName="Sheet3"/>
  <dimension ref="A1:AE364"/>
  <sheetViews>
    <sheetView zoomScale="80" zoomScaleNormal="80" workbookViewId="0">
      <pane xSplit="5" ySplit="2" topLeftCell="F3" activePane="bottomRight" state="frozen"/>
      <selection pane="topRight"/>
      <selection pane="bottomLeft"/>
      <selection pane="bottomRight" activeCell="A4" sqref="A4"/>
    </sheetView>
  </sheetViews>
  <sheetFormatPr defaultColWidth="9.33203125" defaultRowHeight="15.75" x14ac:dyDescent="0.25"/>
  <cols>
    <col min="1" max="1" width="13.6640625" style="67" customWidth="1"/>
    <col min="2" max="2" width="25.6640625" style="61" customWidth="1"/>
    <col min="3" max="3" width="20.6640625" style="61" bestFit="1" customWidth="1"/>
    <col min="4" max="4" width="16" style="62" customWidth="1"/>
    <col min="5" max="5" width="9.33203125" style="62" customWidth="1"/>
    <col min="6" max="6" width="14" style="76" customWidth="1"/>
    <col min="7" max="7" width="14" style="61" customWidth="1"/>
    <col min="8" max="8" width="14" style="76" customWidth="1"/>
    <col min="9" max="9" width="14" style="61" customWidth="1"/>
    <col min="10" max="10" width="14" style="76" customWidth="1"/>
    <col min="11" max="11" width="14" style="61" customWidth="1"/>
    <col min="12" max="12" width="14" style="76" customWidth="1"/>
    <col min="13" max="13" width="14.1640625" style="61" customWidth="1"/>
    <col min="14" max="14" width="14" style="76" customWidth="1"/>
    <col min="15" max="15" width="14.1640625" style="61" customWidth="1"/>
    <col min="16" max="16" width="14" style="76" customWidth="1"/>
    <col min="17" max="17" width="14.1640625" style="61" customWidth="1"/>
    <col min="18" max="18" width="14" style="76" customWidth="1"/>
    <col min="19" max="19" width="14.1640625" style="61" customWidth="1"/>
    <col min="20" max="20" width="14" style="76" bestFit="1" customWidth="1"/>
    <col min="21" max="21" width="14.1640625" style="61" bestFit="1" customWidth="1"/>
    <col min="22" max="22" width="14" style="76" bestFit="1" customWidth="1"/>
    <col min="23" max="23" width="14.1640625" style="61" bestFit="1" customWidth="1"/>
    <col min="24" max="24" width="14" style="76" customWidth="1"/>
    <col min="25" max="25" width="14.1640625" style="61" customWidth="1"/>
    <col min="26" max="26" width="14" style="76" customWidth="1"/>
    <col min="27" max="27" width="14.1640625" style="61" customWidth="1"/>
    <col min="28" max="28" width="14" style="61" customWidth="1"/>
    <col min="29" max="29" width="14.1640625" style="61" customWidth="1"/>
    <col min="30" max="30" width="9.1640625" style="61" customWidth="1"/>
    <col min="31" max="31" width="10.1640625" style="61" customWidth="1"/>
    <col min="32" max="16384" width="9.33203125" style="61"/>
  </cols>
  <sheetData>
    <row r="1" spans="1:31" x14ac:dyDescent="0.25">
      <c r="A1" s="328" t="s">
        <v>124</v>
      </c>
      <c r="B1" s="328"/>
      <c r="D1" s="310" t="s">
        <v>191</v>
      </c>
      <c r="E1" s="310" t="s">
        <v>192</v>
      </c>
      <c r="F1" s="308" t="s">
        <v>193</v>
      </c>
      <c r="G1" s="307"/>
      <c r="H1" s="306" t="s">
        <v>194</v>
      </c>
      <c r="I1" s="307"/>
      <c r="J1" s="306" t="s">
        <v>195</v>
      </c>
      <c r="K1" s="307"/>
      <c r="L1" s="306" t="s">
        <v>196</v>
      </c>
      <c r="M1" s="307"/>
      <c r="N1" s="306" t="s">
        <v>197</v>
      </c>
      <c r="O1" s="307"/>
      <c r="P1" s="306" t="s">
        <v>198</v>
      </c>
      <c r="Q1" s="307"/>
      <c r="R1" s="306" t="s">
        <v>199</v>
      </c>
      <c r="S1" s="307"/>
      <c r="T1" s="306" t="s">
        <v>200</v>
      </c>
      <c r="U1" s="307"/>
      <c r="V1" s="306" t="s">
        <v>201</v>
      </c>
      <c r="W1" s="307"/>
      <c r="X1" s="306" t="s">
        <v>202</v>
      </c>
      <c r="Y1" s="307"/>
      <c r="Z1" s="306" t="s">
        <v>203</v>
      </c>
      <c r="AA1" s="307"/>
      <c r="AB1" s="306" t="s">
        <v>204</v>
      </c>
      <c r="AC1" s="307"/>
      <c r="AD1" s="311" t="s">
        <v>205</v>
      </c>
      <c r="AE1" s="312"/>
    </row>
    <row r="2" spans="1:31" x14ac:dyDescent="0.25">
      <c r="A2" s="328"/>
      <c r="B2" s="328"/>
      <c r="D2" s="310"/>
      <c r="E2" s="309"/>
      <c r="F2" s="73" t="s">
        <v>140</v>
      </c>
      <c r="G2" s="72" t="s">
        <v>141</v>
      </c>
      <c r="H2" s="77" t="s">
        <v>140</v>
      </c>
      <c r="I2" s="72" t="s">
        <v>141</v>
      </c>
      <c r="J2" s="77" t="s">
        <v>140</v>
      </c>
      <c r="K2" s="72" t="s">
        <v>141</v>
      </c>
      <c r="L2" s="77" t="s">
        <v>140</v>
      </c>
      <c r="M2" s="72" t="s">
        <v>141</v>
      </c>
      <c r="N2" s="77" t="s">
        <v>140</v>
      </c>
      <c r="O2" s="72" t="s">
        <v>141</v>
      </c>
      <c r="P2" s="77" t="s">
        <v>140</v>
      </c>
      <c r="Q2" s="72" t="s">
        <v>141</v>
      </c>
      <c r="R2" s="77" t="s">
        <v>140</v>
      </c>
      <c r="S2" s="72" t="s">
        <v>141</v>
      </c>
      <c r="T2" s="77" t="s">
        <v>140</v>
      </c>
      <c r="U2" s="72" t="s">
        <v>141</v>
      </c>
      <c r="V2" s="77" t="s">
        <v>140</v>
      </c>
      <c r="W2" s="72" t="s">
        <v>141</v>
      </c>
      <c r="X2" s="77" t="s">
        <v>140</v>
      </c>
      <c r="Y2" s="72" t="s">
        <v>141</v>
      </c>
      <c r="Z2" s="77" t="s">
        <v>140</v>
      </c>
      <c r="AA2" s="72" t="s">
        <v>141</v>
      </c>
      <c r="AB2" s="95" t="s">
        <v>140</v>
      </c>
      <c r="AC2" s="72" t="s">
        <v>141</v>
      </c>
      <c r="AD2" s="313"/>
      <c r="AE2" s="314"/>
    </row>
    <row r="3" spans="1:31" x14ac:dyDescent="0.25">
      <c r="A3" s="315" t="s">
        <v>142</v>
      </c>
      <c r="B3" s="315"/>
      <c r="C3" s="63"/>
      <c r="D3" s="66"/>
      <c r="E3" s="66"/>
      <c r="F3" s="74"/>
      <c r="G3" s="68"/>
      <c r="H3" s="78"/>
      <c r="I3" s="68"/>
      <c r="J3" s="78"/>
      <c r="K3" s="68"/>
      <c r="L3" s="78"/>
      <c r="M3" s="68"/>
      <c r="N3" s="78"/>
      <c r="O3" s="68"/>
      <c r="P3" s="78"/>
      <c r="Q3" s="68"/>
      <c r="R3" s="78"/>
      <c r="S3" s="68"/>
      <c r="T3" s="78"/>
      <c r="U3" s="68"/>
      <c r="V3" s="78"/>
      <c r="W3" s="101"/>
      <c r="X3" s="102"/>
      <c r="Y3" s="101"/>
      <c r="Z3" s="102"/>
      <c r="AA3" s="101"/>
      <c r="AB3" s="101"/>
      <c r="AC3" s="101"/>
      <c r="AD3" s="103"/>
      <c r="AE3" s="103"/>
    </row>
    <row r="4" spans="1:31" x14ac:dyDescent="0.25">
      <c r="A4" s="315"/>
      <c r="B4" s="315"/>
      <c r="C4" s="65" t="s">
        <v>9</v>
      </c>
      <c r="D4" s="123">
        <f>'2023 ACCRUAL'!AE4</f>
        <v>11</v>
      </c>
      <c r="E4" s="66">
        <v>15</v>
      </c>
      <c r="F4" s="74">
        <v>6</v>
      </c>
      <c r="G4" s="68">
        <f>$E4/12-F4+D4</f>
        <v>6.25</v>
      </c>
      <c r="H4" s="78"/>
      <c r="I4" s="68">
        <f>$E4/12+G4-H4</f>
        <v>7.5</v>
      </c>
      <c r="J4" s="78"/>
      <c r="K4" s="68">
        <f t="shared" ref="K4:K5" si="0">$E4/12+I4-J4</f>
        <v>8.75</v>
      </c>
      <c r="L4" s="78"/>
      <c r="M4" s="68">
        <f t="shared" ref="M4:M5" si="1">$E4/12+K4-L4</f>
        <v>10</v>
      </c>
      <c r="N4" s="78"/>
      <c r="O4" s="68">
        <f t="shared" ref="O4:O5" si="2">$E4/12+M4-N4</f>
        <v>11.25</v>
      </c>
      <c r="P4" s="78">
        <v>0</v>
      </c>
      <c r="Q4" s="68">
        <f t="shared" ref="Q4" si="3">$E4/12+O4-P4</f>
        <v>12.5</v>
      </c>
      <c r="R4" s="78">
        <v>1</v>
      </c>
      <c r="S4" s="68">
        <f>$E4/12+Q4-R4</f>
        <v>12.75</v>
      </c>
      <c r="T4" s="78"/>
      <c r="U4" s="68">
        <f t="shared" ref="U4:U5" si="4">$E4/12+S4-T4</f>
        <v>14</v>
      </c>
      <c r="V4" s="78">
        <v>4</v>
      </c>
      <c r="W4" s="101">
        <f t="shared" ref="W4:W5" si="5">$E4/12+U4-V4</f>
        <v>11.25</v>
      </c>
      <c r="X4" s="102"/>
      <c r="Y4" s="101">
        <f t="shared" ref="Y4:Y5" si="6">$E4/12+W4-X4</f>
        <v>12.5</v>
      </c>
      <c r="Z4" s="102"/>
      <c r="AA4" s="101">
        <f t="shared" ref="AA4:AA5" si="7">$E4/12+Y4-Z4</f>
        <v>13.75</v>
      </c>
      <c r="AB4" s="101"/>
      <c r="AC4" s="101">
        <f>$E4/12+AA4-AB4</f>
        <v>15</v>
      </c>
      <c r="AD4" s="103" t="s">
        <v>143</v>
      </c>
      <c r="AE4" s="103">
        <f>AC4</f>
        <v>15</v>
      </c>
    </row>
    <row r="5" spans="1:31" x14ac:dyDescent="0.25">
      <c r="A5" s="316"/>
      <c r="B5" s="316"/>
      <c r="C5" s="63" t="s">
        <v>8</v>
      </c>
      <c r="D5" s="96">
        <f>'2023 ACCRUAL'!AE5</f>
        <v>5.6800000000000006</v>
      </c>
      <c r="E5" s="64">
        <v>5</v>
      </c>
      <c r="F5" s="75">
        <v>1</v>
      </c>
      <c r="G5" s="68">
        <f>$E5/12-F5+D5</f>
        <v>5.0966666666666676</v>
      </c>
      <c r="H5" s="79">
        <v>2</v>
      </c>
      <c r="I5" s="70">
        <f>$E5/12+G5-H5</f>
        <v>3.5133333333333345</v>
      </c>
      <c r="J5" s="79">
        <v>1</v>
      </c>
      <c r="K5" s="70">
        <f t="shared" si="0"/>
        <v>2.930000000000001</v>
      </c>
      <c r="L5" s="79"/>
      <c r="M5" s="70">
        <f t="shared" si="1"/>
        <v>3.3466666666666676</v>
      </c>
      <c r="N5" s="79"/>
      <c r="O5" s="70">
        <f t="shared" si="2"/>
        <v>3.7633333333333341</v>
      </c>
      <c r="P5" s="79">
        <v>0</v>
      </c>
      <c r="Q5" s="70">
        <f>$E5/12+O5-P5</f>
        <v>4.1800000000000006</v>
      </c>
      <c r="R5" s="79"/>
      <c r="S5" s="70">
        <f t="shared" ref="S5" si="8">$E5/12+Q5-R5</f>
        <v>4.5966666666666676</v>
      </c>
      <c r="T5" s="79"/>
      <c r="U5" s="70">
        <f t="shared" si="4"/>
        <v>5.0133333333333345</v>
      </c>
      <c r="V5" s="79"/>
      <c r="W5" s="104">
        <f t="shared" si="5"/>
        <v>5.4300000000000015</v>
      </c>
      <c r="X5" s="81"/>
      <c r="Y5" s="104">
        <f t="shared" si="6"/>
        <v>5.8466666666666685</v>
      </c>
      <c r="Z5" s="81"/>
      <c r="AA5" s="104">
        <f t="shared" si="7"/>
        <v>6.2633333333333354</v>
      </c>
      <c r="AB5" s="104"/>
      <c r="AC5" s="104">
        <f t="shared" ref="AC5" si="9">$E5/12+AA5-AB5</f>
        <v>6.6800000000000024</v>
      </c>
      <c r="AD5" s="103" t="s">
        <v>144</v>
      </c>
      <c r="AE5" s="105">
        <f t="shared" ref="AE5" si="10">AC5</f>
        <v>6.6800000000000024</v>
      </c>
    </row>
    <row r="6" spans="1:31" x14ac:dyDescent="0.25">
      <c r="A6" s="300" t="s">
        <v>145</v>
      </c>
      <c r="B6" s="301"/>
      <c r="C6" s="63"/>
      <c r="D6" s="66"/>
      <c r="E6" s="66"/>
      <c r="F6" s="74"/>
      <c r="G6" s="68"/>
      <c r="H6" s="78"/>
      <c r="I6" s="68"/>
      <c r="J6" s="78"/>
      <c r="K6" s="68"/>
      <c r="L6" s="78"/>
      <c r="M6" s="68"/>
      <c r="N6" s="78"/>
      <c r="O6" s="68"/>
      <c r="P6" s="78"/>
      <c r="Q6" s="68"/>
      <c r="R6" s="78"/>
      <c r="S6" s="68"/>
      <c r="T6" s="78"/>
      <c r="U6" s="68"/>
      <c r="V6" s="78"/>
      <c r="W6" s="101"/>
      <c r="X6" s="102"/>
      <c r="Y6" s="101"/>
      <c r="Z6" s="102"/>
      <c r="AA6" s="101"/>
      <c r="AB6" s="101"/>
      <c r="AC6" s="101"/>
      <c r="AD6" s="103"/>
      <c r="AE6" s="103"/>
    </row>
    <row r="7" spans="1:31" x14ac:dyDescent="0.25">
      <c r="A7" s="302"/>
      <c r="B7" s="303"/>
      <c r="C7" s="65" t="s">
        <v>9</v>
      </c>
      <c r="D7" s="66">
        <f>'2023 ACCRUAL'!AE7</f>
        <v>3</v>
      </c>
      <c r="E7" s="66">
        <v>15</v>
      </c>
      <c r="F7" s="74">
        <v>1</v>
      </c>
      <c r="G7" s="68">
        <f>$E7/12-F7+D7</f>
        <v>3.25</v>
      </c>
      <c r="H7" s="78"/>
      <c r="I7" s="68">
        <f t="shared" ref="I7" si="11">$E7/12+G7-H7</f>
        <v>4.5</v>
      </c>
      <c r="J7" s="78"/>
      <c r="K7" s="68">
        <f t="shared" ref="K7:K8" si="12">$E7/12+I7-J7</f>
        <v>5.75</v>
      </c>
      <c r="L7" s="78">
        <v>1</v>
      </c>
      <c r="M7" s="68">
        <f t="shared" ref="M7:M8" si="13">$E7/12+K7-L7</f>
        <v>6</v>
      </c>
      <c r="N7" s="78"/>
      <c r="O7" s="68">
        <f t="shared" ref="O7:O8" si="14">$E7/12+M7-N7</f>
        <v>7.25</v>
      </c>
      <c r="P7" s="78">
        <v>6</v>
      </c>
      <c r="Q7" s="68">
        <f t="shared" ref="Q7:Q8" si="15">$E7/12+O7-P7</f>
        <v>2.5</v>
      </c>
      <c r="R7" s="78">
        <v>3</v>
      </c>
      <c r="S7" s="68">
        <f t="shared" ref="S7:S8" si="16">$E7/12+Q7-R7</f>
        <v>0.75</v>
      </c>
      <c r="T7" s="78"/>
      <c r="U7" s="68">
        <f t="shared" ref="U7:U8" si="17">$E7/12+S7-T7</f>
        <v>2</v>
      </c>
      <c r="V7" s="78"/>
      <c r="W7" s="101">
        <f t="shared" ref="W7:W8" si="18">$E7/12+U7-V7</f>
        <v>3.25</v>
      </c>
      <c r="X7" s="102"/>
      <c r="Y7" s="101">
        <f t="shared" ref="Y7:Y8" si="19">$E7/12+W7-X7</f>
        <v>4.5</v>
      </c>
      <c r="Z7" s="102"/>
      <c r="AA7" s="101">
        <f t="shared" ref="AA7:AA8" si="20">$E7/12+Y7-Z7</f>
        <v>5.75</v>
      </c>
      <c r="AB7" s="101"/>
      <c r="AC7" s="101">
        <f t="shared" ref="AC7:AC8" si="21">$E7/12+AA7-AB7</f>
        <v>7</v>
      </c>
      <c r="AD7" s="103" t="s">
        <v>143</v>
      </c>
      <c r="AE7" s="103">
        <f>AC7</f>
        <v>7</v>
      </c>
    </row>
    <row r="8" spans="1:31" x14ac:dyDescent="0.25">
      <c r="A8" s="304"/>
      <c r="B8" s="305"/>
      <c r="C8" s="63" t="s">
        <v>8</v>
      </c>
      <c r="D8" s="96">
        <f>'2023 ACCRUAL'!AE8</f>
        <v>3.4199999999999995</v>
      </c>
      <c r="E8" s="64">
        <v>5</v>
      </c>
      <c r="F8" s="75"/>
      <c r="G8" s="68">
        <f>$E8/12-F8+D8</f>
        <v>3.836666666666666</v>
      </c>
      <c r="H8" s="79"/>
      <c r="I8" s="70">
        <f>$E8/12+G8-H8</f>
        <v>4.253333333333333</v>
      </c>
      <c r="J8" s="79"/>
      <c r="K8" s="70">
        <f t="shared" si="12"/>
        <v>4.67</v>
      </c>
      <c r="L8" s="79">
        <v>2</v>
      </c>
      <c r="M8" s="70">
        <f t="shared" si="13"/>
        <v>3.0866666666666669</v>
      </c>
      <c r="N8" s="79">
        <v>1</v>
      </c>
      <c r="O8" s="70">
        <f t="shared" si="14"/>
        <v>2.5033333333333334</v>
      </c>
      <c r="P8" s="79">
        <v>2</v>
      </c>
      <c r="Q8" s="70">
        <f t="shared" si="15"/>
        <v>0.91999999999999993</v>
      </c>
      <c r="R8" s="79"/>
      <c r="S8" s="70">
        <f t="shared" si="16"/>
        <v>1.3366666666666667</v>
      </c>
      <c r="T8" s="79"/>
      <c r="U8" s="70">
        <f t="shared" si="17"/>
        <v>1.7533333333333334</v>
      </c>
      <c r="V8" s="79">
        <v>1</v>
      </c>
      <c r="W8" s="104">
        <f t="shared" si="18"/>
        <v>1.17</v>
      </c>
      <c r="X8" s="81"/>
      <c r="Y8" s="104">
        <f t="shared" si="19"/>
        <v>1.5866666666666667</v>
      </c>
      <c r="Z8" s="81"/>
      <c r="AA8" s="104">
        <f t="shared" si="20"/>
        <v>2.0033333333333334</v>
      </c>
      <c r="AB8" s="104"/>
      <c r="AC8" s="104">
        <f t="shared" si="21"/>
        <v>2.42</v>
      </c>
      <c r="AD8" s="103" t="s">
        <v>144</v>
      </c>
      <c r="AE8" s="105">
        <f t="shared" ref="AE8" si="22">AC8</f>
        <v>2.42</v>
      </c>
    </row>
    <row r="9" spans="1:31" x14ac:dyDescent="0.25">
      <c r="A9" s="294" t="s">
        <v>146</v>
      </c>
      <c r="B9" s="295"/>
      <c r="C9" s="63"/>
      <c r="D9" s="66"/>
      <c r="E9" s="66"/>
      <c r="F9" s="74"/>
      <c r="G9" s="68"/>
      <c r="H9" s="78"/>
      <c r="I9" s="68"/>
      <c r="J9" s="78"/>
      <c r="K9" s="68"/>
      <c r="L9" s="78"/>
      <c r="M9" s="68"/>
      <c r="N9" s="78"/>
      <c r="O9" s="68"/>
      <c r="P9" s="78"/>
      <c r="Q9" s="68"/>
      <c r="R9" s="78"/>
      <c r="S9" s="68"/>
      <c r="T9" s="78"/>
      <c r="U9" s="68"/>
      <c r="V9" s="78"/>
      <c r="W9" s="101"/>
      <c r="X9" s="102"/>
      <c r="Y9" s="101"/>
      <c r="Z9" s="102"/>
      <c r="AA9" s="101"/>
      <c r="AB9" s="101"/>
      <c r="AC9" s="101"/>
      <c r="AD9" s="103"/>
      <c r="AE9" s="103"/>
    </row>
    <row r="10" spans="1:31" x14ac:dyDescent="0.25">
      <c r="A10" s="296"/>
      <c r="B10" s="297"/>
      <c r="C10" s="65" t="s">
        <v>9</v>
      </c>
      <c r="D10" s="66">
        <f>'2023 ACCRUAL'!AE10</f>
        <v>7</v>
      </c>
      <c r="E10" s="66">
        <v>15</v>
      </c>
      <c r="F10" s="74"/>
      <c r="G10" s="68">
        <f>$E10/12-F10+D10</f>
        <v>8.25</v>
      </c>
      <c r="H10" s="78">
        <v>1</v>
      </c>
      <c r="I10" s="68">
        <f t="shared" ref="I10" si="23">$E10/12+G10-H10</f>
        <v>8.5</v>
      </c>
      <c r="J10" s="78"/>
      <c r="K10" s="68">
        <f t="shared" ref="K10:K11" si="24">$E10/12+I10-J10</f>
        <v>9.75</v>
      </c>
      <c r="L10" s="78"/>
      <c r="M10" s="68">
        <f t="shared" ref="M10:M11" si="25">$E10/12+K10-L10</f>
        <v>11</v>
      </c>
      <c r="N10" s="78">
        <v>1</v>
      </c>
      <c r="O10" s="68">
        <f t="shared" ref="O10:O11" si="26">$E10/12+M10-N10</f>
        <v>11.25</v>
      </c>
      <c r="P10" s="78"/>
      <c r="Q10" s="68">
        <f t="shared" ref="Q10:Q11" si="27">$E10/12+O10-P10</f>
        <v>12.5</v>
      </c>
      <c r="R10" s="78">
        <v>1</v>
      </c>
      <c r="S10" s="68">
        <f t="shared" ref="S10:S11" si="28">$E10/12+Q10-R10</f>
        <v>12.75</v>
      </c>
      <c r="T10" s="78">
        <v>1</v>
      </c>
      <c r="U10" s="68">
        <f t="shared" ref="U10:U11" si="29">$E10/12+S10-T10</f>
        <v>13</v>
      </c>
      <c r="V10" s="78"/>
      <c r="W10" s="101">
        <f t="shared" ref="W10:W11" si="30">$E10/12+U10-V10</f>
        <v>14.25</v>
      </c>
      <c r="X10" s="102"/>
      <c r="Y10" s="101">
        <f t="shared" ref="Y10:Y11" si="31">$E10/12+W10-X10</f>
        <v>15.5</v>
      </c>
      <c r="Z10" s="102"/>
      <c r="AA10" s="101">
        <f t="shared" ref="AA10:AA11" si="32">$E10/12+Y10-Z10</f>
        <v>16.75</v>
      </c>
      <c r="AB10" s="101"/>
      <c r="AC10" s="101">
        <f t="shared" ref="AC10:AC11" si="33">$E10/12+AA10-AB10</f>
        <v>18</v>
      </c>
      <c r="AD10" s="103" t="s">
        <v>143</v>
      </c>
      <c r="AE10" s="103">
        <f>AC10</f>
        <v>18</v>
      </c>
    </row>
    <row r="11" spans="1:31" x14ac:dyDescent="0.25">
      <c r="A11" s="298"/>
      <c r="B11" s="299"/>
      <c r="C11" s="63" t="s">
        <v>8</v>
      </c>
      <c r="D11" s="110">
        <f>'2023 ACCRUAL'!AE11</f>
        <v>-0.3199999999999999</v>
      </c>
      <c r="E11" s="64">
        <v>5</v>
      </c>
      <c r="F11" s="75"/>
      <c r="G11" s="68">
        <f>$E11/12-F11+D11</f>
        <v>9.666666666666679E-2</v>
      </c>
      <c r="H11" s="79"/>
      <c r="I11" s="70">
        <f>$E11/12+G11-H11</f>
        <v>0.51333333333333342</v>
      </c>
      <c r="J11" s="79"/>
      <c r="K11" s="70">
        <f t="shared" si="24"/>
        <v>0.93000000000000016</v>
      </c>
      <c r="L11" s="79">
        <v>1</v>
      </c>
      <c r="M11" s="70">
        <f t="shared" si="25"/>
        <v>0.3466666666666669</v>
      </c>
      <c r="N11" s="79"/>
      <c r="O11" s="70">
        <f t="shared" si="26"/>
        <v>0.76333333333333364</v>
      </c>
      <c r="P11" s="79">
        <v>1</v>
      </c>
      <c r="Q11" s="70">
        <f t="shared" si="27"/>
        <v>0.18000000000000038</v>
      </c>
      <c r="R11" s="79"/>
      <c r="S11" s="70">
        <f t="shared" si="28"/>
        <v>0.59666666666666712</v>
      </c>
      <c r="T11" s="79"/>
      <c r="U11" s="70">
        <f t="shared" si="29"/>
        <v>1.0133333333333339</v>
      </c>
      <c r="V11" s="79"/>
      <c r="W11" s="104">
        <f t="shared" si="30"/>
        <v>1.4300000000000006</v>
      </c>
      <c r="X11" s="81"/>
      <c r="Y11" s="104">
        <f t="shared" si="31"/>
        <v>1.8466666666666673</v>
      </c>
      <c r="Z11" s="81"/>
      <c r="AA11" s="104">
        <f t="shared" si="32"/>
        <v>2.2633333333333341</v>
      </c>
      <c r="AB11" s="104"/>
      <c r="AC11" s="104">
        <f t="shared" si="33"/>
        <v>2.6800000000000006</v>
      </c>
      <c r="AD11" s="103" t="s">
        <v>144</v>
      </c>
      <c r="AE11" s="105">
        <f t="shared" ref="AE11" si="34">AC11</f>
        <v>2.6800000000000006</v>
      </c>
    </row>
    <row r="12" spans="1:31" x14ac:dyDescent="0.25">
      <c r="A12" s="294" t="s">
        <v>147</v>
      </c>
      <c r="B12" s="295"/>
      <c r="C12" s="63"/>
      <c r="D12" s="66"/>
      <c r="E12" s="66"/>
      <c r="F12" s="74"/>
      <c r="G12" s="68"/>
      <c r="H12" s="78"/>
      <c r="I12" s="68"/>
      <c r="J12" s="78"/>
      <c r="K12" s="68"/>
      <c r="L12" s="78"/>
      <c r="M12" s="68"/>
      <c r="N12" s="78"/>
      <c r="O12" s="68"/>
      <c r="P12" s="78"/>
      <c r="Q12" s="68"/>
      <c r="R12" s="78"/>
      <c r="S12" s="68"/>
      <c r="T12" s="78"/>
      <c r="U12" s="68"/>
      <c r="V12" s="78"/>
      <c r="W12" s="101"/>
      <c r="X12" s="102"/>
      <c r="Y12" s="101"/>
      <c r="Z12" s="102"/>
      <c r="AA12" s="101"/>
      <c r="AB12" s="101"/>
      <c r="AC12" s="101"/>
      <c r="AD12" s="103"/>
      <c r="AE12" s="103"/>
    </row>
    <row r="13" spans="1:31" x14ac:dyDescent="0.25">
      <c r="A13" s="296"/>
      <c r="B13" s="297"/>
      <c r="C13" s="65" t="s">
        <v>9</v>
      </c>
      <c r="D13" s="66">
        <f>'2023 ACCRUAL'!AE13</f>
        <v>12.5</v>
      </c>
      <c r="E13" s="66">
        <v>15</v>
      </c>
      <c r="F13" s="74">
        <v>3</v>
      </c>
      <c r="G13" s="68">
        <f>$E13/12-F13+D13</f>
        <v>10.75</v>
      </c>
      <c r="H13" s="78"/>
      <c r="I13" s="68">
        <f t="shared" ref="I13" si="35">$E13/12+G13-H13</f>
        <v>12</v>
      </c>
      <c r="J13" s="78"/>
      <c r="K13" s="68">
        <f t="shared" ref="K13:K14" si="36">$E13/12+I13-J13</f>
        <v>13.25</v>
      </c>
      <c r="L13" s="78"/>
      <c r="M13" s="68">
        <f t="shared" ref="M13:M14" si="37">$E13/12+K13-L13</f>
        <v>14.5</v>
      </c>
      <c r="N13" s="78"/>
      <c r="O13" s="68">
        <f t="shared" ref="O13:O14" si="38">$E13/12+M13-N13</f>
        <v>15.75</v>
      </c>
      <c r="P13" s="78">
        <v>1</v>
      </c>
      <c r="Q13" s="68">
        <f t="shared" ref="Q13:Q14" si="39">$E13/12+O13-P13</f>
        <v>16</v>
      </c>
      <c r="R13" s="78"/>
      <c r="S13" s="68">
        <f t="shared" ref="S13:S14" si="40">$E13/12+Q13-R13</f>
        <v>17.25</v>
      </c>
      <c r="T13" s="78"/>
      <c r="U13" s="68">
        <f t="shared" ref="U13:U14" si="41">$E13/12+S13-T13</f>
        <v>18.5</v>
      </c>
      <c r="V13" s="78"/>
      <c r="W13" s="101">
        <f t="shared" ref="W13:W14" si="42">$E13/12+U13-V13</f>
        <v>19.75</v>
      </c>
      <c r="X13" s="102"/>
      <c r="Y13" s="101">
        <f t="shared" ref="Y13:Y14" si="43">$E13/12+W13-X13</f>
        <v>21</v>
      </c>
      <c r="Z13" s="102"/>
      <c r="AA13" s="101">
        <f t="shared" ref="AA13:AA14" si="44">$E13/12+Y13-Z13</f>
        <v>22.25</v>
      </c>
      <c r="AB13" s="101"/>
      <c r="AC13" s="101">
        <f t="shared" ref="AC13:AC14" si="45">$E13/12+AA13-AB13</f>
        <v>23.5</v>
      </c>
      <c r="AD13" s="103" t="s">
        <v>143</v>
      </c>
      <c r="AE13" s="103">
        <f>AC13</f>
        <v>23.5</v>
      </c>
    </row>
    <row r="14" spans="1:31" x14ac:dyDescent="0.25">
      <c r="A14" s="298"/>
      <c r="B14" s="299"/>
      <c r="C14" s="63" t="s">
        <v>8</v>
      </c>
      <c r="D14" s="96">
        <f>'2023 ACCRUAL'!AE14</f>
        <v>4.6800000000000006</v>
      </c>
      <c r="E14" s="64">
        <v>5</v>
      </c>
      <c r="F14" s="75"/>
      <c r="G14" s="68">
        <f>$E14/12-F14+D14</f>
        <v>5.0966666666666676</v>
      </c>
      <c r="H14" s="79"/>
      <c r="I14" s="70">
        <f>$E14/12+G14-H14</f>
        <v>5.5133333333333345</v>
      </c>
      <c r="J14" s="79"/>
      <c r="K14" s="70">
        <f t="shared" si="36"/>
        <v>5.9300000000000015</v>
      </c>
      <c r="L14" s="79"/>
      <c r="M14" s="70">
        <f t="shared" si="37"/>
        <v>6.3466666666666685</v>
      </c>
      <c r="N14" s="79"/>
      <c r="O14" s="70">
        <f t="shared" si="38"/>
        <v>6.7633333333333354</v>
      </c>
      <c r="P14" s="79"/>
      <c r="Q14" s="70">
        <f t="shared" si="39"/>
        <v>7.1800000000000024</v>
      </c>
      <c r="R14" s="79"/>
      <c r="S14" s="70">
        <f t="shared" si="40"/>
        <v>7.5966666666666693</v>
      </c>
      <c r="T14" s="79"/>
      <c r="U14" s="70">
        <f t="shared" si="41"/>
        <v>8.0133333333333354</v>
      </c>
      <c r="V14" s="79"/>
      <c r="W14" s="104">
        <f t="shared" si="42"/>
        <v>8.4300000000000015</v>
      </c>
      <c r="X14" s="81"/>
      <c r="Y14" s="104">
        <f t="shared" si="43"/>
        <v>8.8466666666666676</v>
      </c>
      <c r="Z14" s="81"/>
      <c r="AA14" s="104">
        <f t="shared" si="44"/>
        <v>9.2633333333333336</v>
      </c>
      <c r="AB14" s="104"/>
      <c r="AC14" s="104">
        <f t="shared" si="45"/>
        <v>9.68</v>
      </c>
      <c r="AD14" s="103" t="s">
        <v>144</v>
      </c>
      <c r="AE14" s="105">
        <f t="shared" ref="AE14" si="46">AC14</f>
        <v>9.68</v>
      </c>
    </row>
    <row r="15" spans="1:31" x14ac:dyDescent="0.25">
      <c r="A15" s="294" t="s">
        <v>148</v>
      </c>
      <c r="B15" s="295"/>
      <c r="C15" s="63"/>
      <c r="D15" s="66"/>
      <c r="E15" s="66"/>
      <c r="F15" s="74"/>
      <c r="G15" s="68"/>
      <c r="H15" s="78"/>
      <c r="I15" s="68"/>
      <c r="J15" s="78"/>
      <c r="K15" s="68"/>
      <c r="L15" s="78"/>
      <c r="M15" s="68"/>
      <c r="N15" s="78"/>
      <c r="O15" s="68"/>
      <c r="P15" s="78"/>
      <c r="Q15" s="68"/>
      <c r="R15" s="78"/>
      <c r="S15" s="68"/>
      <c r="T15" s="78"/>
      <c r="U15" s="68"/>
      <c r="V15" s="78"/>
      <c r="W15" s="101"/>
      <c r="X15" s="102"/>
      <c r="Y15" s="101"/>
      <c r="Z15" s="102"/>
      <c r="AA15" s="101"/>
      <c r="AB15" s="101"/>
      <c r="AC15" s="101"/>
      <c r="AD15" s="103"/>
      <c r="AE15" s="103"/>
    </row>
    <row r="16" spans="1:31" x14ac:dyDescent="0.25">
      <c r="A16" s="296"/>
      <c r="B16" s="297"/>
      <c r="C16" s="65" t="s">
        <v>9</v>
      </c>
      <c r="D16" s="66">
        <f>'2023 ACCRUAL'!AE16</f>
        <v>7.5</v>
      </c>
      <c r="E16" s="66">
        <v>15</v>
      </c>
      <c r="F16" s="74">
        <v>2</v>
      </c>
      <c r="G16" s="68">
        <f>$E16/12-F16+D16</f>
        <v>6.75</v>
      </c>
      <c r="H16" s="78"/>
      <c r="I16" s="68">
        <f t="shared" ref="I16" si="47">$E16/12+G16-H16</f>
        <v>8</v>
      </c>
      <c r="J16" s="78"/>
      <c r="K16" s="68">
        <f t="shared" ref="K16:K17" si="48">$E16/12+I16-J16</f>
        <v>9.25</v>
      </c>
      <c r="L16" s="78">
        <v>2</v>
      </c>
      <c r="M16" s="68">
        <f t="shared" ref="M16:M17" si="49">$E16/12+K16-L16</f>
        <v>8.5</v>
      </c>
      <c r="N16" s="78"/>
      <c r="O16" s="68">
        <f t="shared" ref="O16:O17" si="50">$E16/12+M16-N16</f>
        <v>9.75</v>
      </c>
      <c r="P16" s="78">
        <v>2</v>
      </c>
      <c r="Q16" s="68">
        <f t="shared" ref="Q16:Q17" si="51">$E16/12+O16-P16</f>
        <v>9</v>
      </c>
      <c r="R16" s="78"/>
      <c r="S16" s="68">
        <f t="shared" ref="S16:S17" si="52">$E16/12+Q16-R16</f>
        <v>10.25</v>
      </c>
      <c r="T16" s="78"/>
      <c r="U16" s="68">
        <f t="shared" ref="U16:U17" si="53">$E16/12+S16-T16</f>
        <v>11.5</v>
      </c>
      <c r="V16" s="78"/>
      <c r="W16" s="101">
        <f t="shared" ref="W16:W17" si="54">$E16/12+U16-V16</f>
        <v>12.75</v>
      </c>
      <c r="X16" s="102"/>
      <c r="Y16" s="101">
        <f t="shared" ref="Y16:Y17" si="55">$E16/12+W16-X16</f>
        <v>14</v>
      </c>
      <c r="Z16" s="102"/>
      <c r="AA16" s="101">
        <f t="shared" ref="AA16:AA17" si="56">$E16/12+Y16-Z16</f>
        <v>15.25</v>
      </c>
      <c r="AB16" s="101"/>
      <c r="AC16" s="101">
        <f t="shared" ref="AC16:AC17" si="57">$E16/12+AA16-AB16</f>
        <v>16.5</v>
      </c>
      <c r="AD16" s="103" t="s">
        <v>143</v>
      </c>
      <c r="AE16" s="103">
        <f>AC16</f>
        <v>16.5</v>
      </c>
    </row>
    <row r="17" spans="1:31" x14ac:dyDescent="0.25">
      <c r="A17" s="298"/>
      <c r="B17" s="299"/>
      <c r="C17" s="63" t="s">
        <v>8</v>
      </c>
      <c r="D17" s="96">
        <f>'2023 ACCRUAL'!AE17</f>
        <v>2.6799999999999993</v>
      </c>
      <c r="E17" s="64">
        <v>5</v>
      </c>
      <c r="F17" s="75">
        <v>1</v>
      </c>
      <c r="G17" s="68">
        <f>$E17/12-F17+D17</f>
        <v>2.0966666666666658</v>
      </c>
      <c r="H17" s="79">
        <v>1</v>
      </c>
      <c r="I17" s="70">
        <f>$E17/12+G17-H17</f>
        <v>1.5133333333333323</v>
      </c>
      <c r="J17" s="79"/>
      <c r="K17" s="70">
        <f t="shared" si="48"/>
        <v>1.929999999999999</v>
      </c>
      <c r="L17" s="79"/>
      <c r="M17" s="70">
        <f t="shared" si="49"/>
        <v>2.3466666666666658</v>
      </c>
      <c r="N17" s="79">
        <v>1</v>
      </c>
      <c r="O17" s="70">
        <f t="shared" si="50"/>
        <v>1.7633333333333323</v>
      </c>
      <c r="P17" s="79">
        <v>1</v>
      </c>
      <c r="Q17" s="70">
        <f t="shared" si="51"/>
        <v>1.1799999999999988</v>
      </c>
      <c r="R17" s="79">
        <v>1</v>
      </c>
      <c r="S17" s="70">
        <f t="shared" si="52"/>
        <v>0.59666666666666557</v>
      </c>
      <c r="T17" s="79">
        <v>1</v>
      </c>
      <c r="U17" s="70">
        <f t="shared" si="53"/>
        <v>1.3333333333332309E-2</v>
      </c>
      <c r="V17" s="79"/>
      <c r="W17" s="104">
        <f t="shared" si="54"/>
        <v>0.42999999999999899</v>
      </c>
      <c r="X17" s="81"/>
      <c r="Y17" s="104">
        <f t="shared" si="55"/>
        <v>0.84666666666666568</v>
      </c>
      <c r="Z17" s="81"/>
      <c r="AA17" s="104">
        <f t="shared" si="56"/>
        <v>1.2633333333333323</v>
      </c>
      <c r="AB17" s="104"/>
      <c r="AC17" s="104">
        <f t="shared" si="57"/>
        <v>1.679999999999999</v>
      </c>
      <c r="AD17" s="103" t="s">
        <v>144</v>
      </c>
      <c r="AE17" s="105">
        <f t="shared" ref="AE17" si="58">AC17</f>
        <v>1.679999999999999</v>
      </c>
    </row>
    <row r="18" spans="1:31" x14ac:dyDescent="0.25">
      <c r="A18" s="294" t="s">
        <v>149</v>
      </c>
      <c r="B18" s="295"/>
      <c r="C18" s="63"/>
      <c r="D18" s="66"/>
      <c r="E18" s="66"/>
      <c r="F18" s="74"/>
      <c r="G18" s="68"/>
      <c r="H18" s="78"/>
      <c r="I18" s="68"/>
      <c r="J18" s="78"/>
      <c r="K18" s="68"/>
      <c r="L18" s="78"/>
      <c r="M18" s="68"/>
      <c r="N18" s="78"/>
      <c r="O18" s="68"/>
      <c r="P18" s="78"/>
      <c r="Q18" s="68"/>
      <c r="R18" s="78"/>
      <c r="S18" s="68"/>
      <c r="T18" s="78"/>
      <c r="U18" s="68"/>
      <c r="V18" s="78"/>
      <c r="W18" s="101"/>
      <c r="X18" s="102"/>
      <c r="Y18" s="101"/>
      <c r="Z18" s="102"/>
      <c r="AA18" s="101"/>
      <c r="AB18" s="101"/>
      <c r="AC18" s="101"/>
      <c r="AD18" s="103"/>
      <c r="AE18" s="103"/>
    </row>
    <row r="19" spans="1:31" x14ac:dyDescent="0.25">
      <c r="A19" s="296"/>
      <c r="B19" s="297"/>
      <c r="C19" s="65" t="s">
        <v>9</v>
      </c>
      <c r="D19" s="66">
        <f>'2023 ACCRUAL'!AE19</f>
        <v>10.75</v>
      </c>
      <c r="E19" s="66">
        <v>15</v>
      </c>
      <c r="F19" s="74">
        <v>1</v>
      </c>
      <c r="G19" s="68">
        <f>$E19/12-F19+D19</f>
        <v>11</v>
      </c>
      <c r="H19" s="78"/>
      <c r="I19" s="68">
        <f t="shared" ref="I19" si="59">$E19/12+G19-H19</f>
        <v>12.25</v>
      </c>
      <c r="J19" s="78"/>
      <c r="K19" s="68">
        <f t="shared" ref="K19:K20" si="60">$E19/12+I19-J19</f>
        <v>13.5</v>
      </c>
      <c r="L19" s="78"/>
      <c r="M19" s="68">
        <f t="shared" ref="M19:M20" si="61">$E19/12+K19-L19</f>
        <v>14.75</v>
      </c>
      <c r="N19" s="78">
        <v>1</v>
      </c>
      <c r="O19" s="68">
        <f>$E19/12+M19-N19</f>
        <v>15</v>
      </c>
      <c r="P19" s="78">
        <v>1</v>
      </c>
      <c r="Q19" s="68">
        <f t="shared" ref="Q19:Q20" si="62">$E19/12+O19-P19</f>
        <v>15.25</v>
      </c>
      <c r="R19" s="78"/>
      <c r="S19" s="68">
        <f t="shared" ref="S19:S20" si="63">$E19/12+Q19-R19</f>
        <v>16.5</v>
      </c>
      <c r="T19" s="78"/>
      <c r="U19" s="68">
        <f t="shared" ref="U19:U20" si="64">$E19/12+S19-T19</f>
        <v>17.75</v>
      </c>
      <c r="V19" s="78"/>
      <c r="W19" s="101">
        <f t="shared" ref="W19:W20" si="65">$E19/12+U19-V19</f>
        <v>19</v>
      </c>
      <c r="X19" s="102"/>
      <c r="Y19" s="101">
        <f t="shared" ref="Y19:Y20" si="66">$E19/12+W19-X19</f>
        <v>20.25</v>
      </c>
      <c r="Z19" s="102"/>
      <c r="AA19" s="101">
        <f t="shared" ref="AA19:AA20" si="67">$E19/12+Y19-Z19</f>
        <v>21.5</v>
      </c>
      <c r="AB19" s="101"/>
      <c r="AC19" s="101">
        <f t="shared" ref="AC19:AC20" si="68">$E19/12+AA19-AB19</f>
        <v>22.75</v>
      </c>
      <c r="AD19" s="103" t="s">
        <v>143</v>
      </c>
      <c r="AE19" s="103">
        <f>AC19</f>
        <v>22.75</v>
      </c>
    </row>
    <row r="20" spans="1:31" x14ac:dyDescent="0.25">
      <c r="A20" s="298"/>
      <c r="B20" s="299"/>
      <c r="C20" s="63" t="s">
        <v>8</v>
      </c>
      <c r="D20" s="96">
        <f>'2023 ACCRUAL'!AE20</f>
        <v>6.2600000000000007</v>
      </c>
      <c r="E20" s="64">
        <v>5</v>
      </c>
      <c r="F20" s="75"/>
      <c r="G20" s="68">
        <f>$E20/12-F20+D20</f>
        <v>6.6766666666666676</v>
      </c>
      <c r="H20" s="79"/>
      <c r="I20" s="70">
        <f>$E20/12+G20-H20</f>
        <v>7.0933333333333346</v>
      </c>
      <c r="J20" s="79"/>
      <c r="K20" s="70">
        <f t="shared" si="60"/>
        <v>7.5100000000000016</v>
      </c>
      <c r="L20" s="79"/>
      <c r="M20" s="70">
        <f t="shared" si="61"/>
        <v>7.9266666666666685</v>
      </c>
      <c r="N20" s="79"/>
      <c r="O20" s="70">
        <f t="shared" ref="O20" si="69">$E20/12+M20-N20</f>
        <v>8.3433333333333355</v>
      </c>
      <c r="P20" s="79">
        <v>1</v>
      </c>
      <c r="Q20" s="70">
        <f t="shared" si="62"/>
        <v>7.7600000000000016</v>
      </c>
      <c r="R20" s="79"/>
      <c r="S20" s="70">
        <f t="shared" si="63"/>
        <v>8.1766666666666676</v>
      </c>
      <c r="T20" s="79">
        <v>1</v>
      </c>
      <c r="U20" s="70">
        <f t="shared" si="64"/>
        <v>7.5933333333333337</v>
      </c>
      <c r="V20" s="79"/>
      <c r="W20" s="104">
        <f t="shared" si="65"/>
        <v>8.01</v>
      </c>
      <c r="X20" s="81"/>
      <c r="Y20" s="104">
        <f t="shared" si="66"/>
        <v>8.4266666666666659</v>
      </c>
      <c r="Z20" s="81"/>
      <c r="AA20" s="104">
        <f t="shared" si="67"/>
        <v>8.8433333333333319</v>
      </c>
      <c r="AB20" s="104"/>
      <c r="AC20" s="104">
        <f t="shared" si="68"/>
        <v>9.259999999999998</v>
      </c>
      <c r="AD20" s="103" t="s">
        <v>144</v>
      </c>
      <c r="AE20" s="105">
        <f t="shared" ref="AE20" si="70">AC20</f>
        <v>9.259999999999998</v>
      </c>
    </row>
    <row r="21" spans="1:31" x14ac:dyDescent="0.25">
      <c r="A21" s="294" t="s">
        <v>150</v>
      </c>
      <c r="B21" s="295"/>
      <c r="C21" s="63"/>
      <c r="D21" s="66"/>
      <c r="E21" s="66"/>
      <c r="F21" s="74"/>
      <c r="G21" s="68"/>
      <c r="H21" s="78"/>
      <c r="I21" s="68"/>
      <c r="J21" s="78"/>
      <c r="K21" s="68"/>
      <c r="L21" s="78"/>
      <c r="M21" s="68"/>
      <c r="N21" s="78"/>
      <c r="O21" s="68"/>
      <c r="P21" s="78"/>
      <c r="Q21" s="68"/>
      <c r="R21" s="78"/>
      <c r="S21" s="68"/>
      <c r="T21" s="78"/>
      <c r="U21" s="68"/>
      <c r="V21" s="78"/>
      <c r="W21" s="101"/>
      <c r="X21" s="102"/>
      <c r="Y21" s="101"/>
      <c r="Z21" s="102"/>
      <c r="AA21" s="101"/>
      <c r="AB21" s="101"/>
      <c r="AC21" s="101"/>
      <c r="AD21" s="103"/>
      <c r="AE21" s="103"/>
    </row>
    <row r="22" spans="1:31" x14ac:dyDescent="0.25">
      <c r="A22" s="296"/>
      <c r="B22" s="297"/>
      <c r="C22" s="65" t="s">
        <v>9</v>
      </c>
      <c r="D22" s="66">
        <f>'2023 ACCRUAL'!AE22</f>
        <v>9.25</v>
      </c>
      <c r="E22" s="66">
        <v>15</v>
      </c>
      <c r="F22" s="74">
        <v>1</v>
      </c>
      <c r="G22" s="68">
        <f>$E22/12-F22+D22</f>
        <v>9.5</v>
      </c>
      <c r="H22" s="78">
        <v>2</v>
      </c>
      <c r="I22" s="68">
        <f t="shared" ref="I22" si="71">$E22/12+G22-H22</f>
        <v>8.75</v>
      </c>
      <c r="J22" s="78">
        <v>1</v>
      </c>
      <c r="K22" s="68">
        <f t="shared" ref="K22:K23" si="72">$E22/12+I22-J22</f>
        <v>9</v>
      </c>
      <c r="L22" s="78"/>
      <c r="M22" s="68">
        <f t="shared" ref="M22:M23" si="73">$E22/12+K22-L22</f>
        <v>10.25</v>
      </c>
      <c r="N22" s="78">
        <v>5</v>
      </c>
      <c r="O22" s="68">
        <f t="shared" ref="O22:O23" si="74">$E22/12+M22-N22</f>
        <v>6.5</v>
      </c>
      <c r="P22" s="78"/>
      <c r="Q22" s="68">
        <f t="shared" ref="Q22:Q23" si="75">$E22/12+O22-P22</f>
        <v>7.75</v>
      </c>
      <c r="R22" s="78"/>
      <c r="S22" s="68">
        <f t="shared" ref="S22:S23" si="76">$E22/12+Q22-R22</f>
        <v>9</v>
      </c>
      <c r="T22" s="78"/>
      <c r="U22" s="68">
        <f t="shared" ref="U22:U23" si="77">$E22/12+S22-T22</f>
        <v>10.25</v>
      </c>
      <c r="V22" s="78"/>
      <c r="W22" s="101">
        <f t="shared" ref="W22:W23" si="78">$E22/12+U22-V22</f>
        <v>11.5</v>
      </c>
      <c r="X22" s="102"/>
      <c r="Y22" s="101">
        <f t="shared" ref="Y22:Y23" si="79">$E22/12+W22-X22</f>
        <v>12.75</v>
      </c>
      <c r="Z22" s="102"/>
      <c r="AA22" s="101">
        <f t="shared" ref="AA22:AA23" si="80">$E22/12+Y22-Z22</f>
        <v>14</v>
      </c>
      <c r="AB22" s="101"/>
      <c r="AC22" s="101">
        <f t="shared" ref="AC22:AC23" si="81">$E22/12+AA22-AB22</f>
        <v>15.25</v>
      </c>
      <c r="AD22" s="103" t="s">
        <v>143</v>
      </c>
      <c r="AE22" s="103">
        <f>AC22</f>
        <v>15.25</v>
      </c>
    </row>
    <row r="23" spans="1:31" x14ac:dyDescent="0.25">
      <c r="A23" s="298"/>
      <c r="B23" s="299"/>
      <c r="C23" s="63" t="s">
        <v>8</v>
      </c>
      <c r="D23" s="96">
        <f>'2023 ACCRUAL'!AE23</f>
        <v>1.2599999999999998</v>
      </c>
      <c r="E23" s="64">
        <v>5</v>
      </c>
      <c r="F23" s="75">
        <v>2</v>
      </c>
      <c r="G23" s="111">
        <f>$E23/12-F23+D23</f>
        <v>-0.32333333333333347</v>
      </c>
      <c r="H23" s="79"/>
      <c r="I23" s="70">
        <f>$E23/12+G23-H23</f>
        <v>9.3333333333333213E-2</v>
      </c>
      <c r="J23" s="79"/>
      <c r="K23" s="70">
        <f t="shared" si="72"/>
        <v>0.5099999999999999</v>
      </c>
      <c r="L23" s="79"/>
      <c r="M23" s="70">
        <f t="shared" si="73"/>
        <v>0.92666666666666653</v>
      </c>
      <c r="N23" s="79"/>
      <c r="O23" s="70">
        <f t="shared" si="74"/>
        <v>1.3433333333333333</v>
      </c>
      <c r="P23" s="79"/>
      <c r="Q23" s="70">
        <f t="shared" si="75"/>
        <v>1.76</v>
      </c>
      <c r="R23" s="79"/>
      <c r="S23" s="70">
        <f t="shared" si="76"/>
        <v>2.1766666666666667</v>
      </c>
      <c r="T23" s="79"/>
      <c r="U23" s="70">
        <f t="shared" si="77"/>
        <v>2.5933333333333333</v>
      </c>
      <c r="V23" s="79"/>
      <c r="W23" s="104">
        <f t="shared" si="78"/>
        <v>3.01</v>
      </c>
      <c r="X23" s="81"/>
      <c r="Y23" s="104">
        <f t="shared" si="79"/>
        <v>3.4266666666666663</v>
      </c>
      <c r="Z23" s="81"/>
      <c r="AA23" s="104">
        <f t="shared" si="80"/>
        <v>3.8433333333333328</v>
      </c>
      <c r="AB23" s="104"/>
      <c r="AC23" s="104">
        <f t="shared" si="81"/>
        <v>4.26</v>
      </c>
      <c r="AD23" s="103" t="s">
        <v>144</v>
      </c>
      <c r="AE23" s="105">
        <f t="shared" ref="AE23" si="82">AC23</f>
        <v>4.26</v>
      </c>
    </row>
    <row r="24" spans="1:31" ht="15.75" customHeight="1" x14ac:dyDescent="0.25">
      <c r="A24" s="294" t="s">
        <v>151</v>
      </c>
      <c r="B24" s="295"/>
      <c r="C24" s="63"/>
      <c r="D24" s="66"/>
      <c r="E24" s="66"/>
      <c r="F24" s="74"/>
      <c r="G24" s="68"/>
      <c r="H24" s="78"/>
      <c r="I24" s="68"/>
      <c r="J24" s="78"/>
      <c r="K24" s="68"/>
      <c r="L24" s="78"/>
      <c r="M24" s="68"/>
      <c r="N24" s="78"/>
      <c r="O24" s="68"/>
      <c r="P24" s="78"/>
      <c r="Q24" s="68"/>
      <c r="R24" s="78"/>
      <c r="S24" s="68"/>
      <c r="T24" s="78"/>
      <c r="U24" s="68"/>
      <c r="V24" s="78"/>
      <c r="W24" s="101"/>
      <c r="X24" s="102"/>
      <c r="Y24" s="101"/>
      <c r="Z24" s="102"/>
      <c r="AA24" s="101"/>
      <c r="AB24" s="101"/>
      <c r="AC24" s="101"/>
      <c r="AD24" s="103"/>
      <c r="AE24" s="103"/>
    </row>
    <row r="25" spans="1:31" x14ac:dyDescent="0.25">
      <c r="A25" s="296"/>
      <c r="B25" s="297"/>
      <c r="C25" s="65" t="s">
        <v>9</v>
      </c>
      <c r="D25" s="66">
        <f>'2023 ACCRUAL'!AE25</f>
        <v>13.25</v>
      </c>
      <c r="E25" s="66">
        <v>15</v>
      </c>
      <c r="F25" s="74">
        <v>2</v>
      </c>
      <c r="G25" s="68">
        <f>$E25/12-F25+D25</f>
        <v>12.5</v>
      </c>
      <c r="H25" s="78"/>
      <c r="I25" s="68">
        <f t="shared" ref="I25" si="83">$E25/12+G25-H25</f>
        <v>13.75</v>
      </c>
      <c r="J25" s="78"/>
      <c r="K25" s="68">
        <f t="shared" ref="K25:K26" si="84">$E25/12+I25-J25</f>
        <v>15</v>
      </c>
      <c r="L25" s="78"/>
      <c r="M25" s="68">
        <f t="shared" ref="M25:M26" si="85">$E25/12+K25-L25</f>
        <v>16.25</v>
      </c>
      <c r="N25" s="78">
        <v>2</v>
      </c>
      <c r="O25" s="68">
        <f t="shared" ref="O25:O26" si="86">$E25/12+M25-N25</f>
        <v>15.5</v>
      </c>
      <c r="P25" s="78"/>
      <c r="Q25" s="68">
        <f t="shared" ref="Q25:Q26" si="87">$E25/12+O25-P25</f>
        <v>16.75</v>
      </c>
      <c r="R25" s="78">
        <v>1</v>
      </c>
      <c r="S25" s="68">
        <f t="shared" ref="S25:S26" si="88">$E25/12+Q25-R25</f>
        <v>17</v>
      </c>
      <c r="T25" s="78"/>
      <c r="U25" s="68">
        <f t="shared" ref="U25:U27" si="89">$E25/12+S25-T25</f>
        <v>18.25</v>
      </c>
      <c r="V25" s="78"/>
      <c r="W25" s="101">
        <f t="shared" ref="W25:W27" si="90">$E25/12+U25-V25</f>
        <v>19.5</v>
      </c>
      <c r="X25" s="102"/>
      <c r="Y25" s="101">
        <f t="shared" ref="Y25:Y27" si="91">$E25/12+W25-X25</f>
        <v>20.75</v>
      </c>
      <c r="Z25" s="102"/>
      <c r="AA25" s="101">
        <f t="shared" ref="AA25:AA27" si="92">$E25/12+Y25-Z25</f>
        <v>22</v>
      </c>
      <c r="AB25" s="101"/>
      <c r="AC25" s="101">
        <f t="shared" ref="AC25:AC27" si="93">$E25/12+AA25-AB25</f>
        <v>23.25</v>
      </c>
      <c r="AD25" s="103" t="s">
        <v>143</v>
      </c>
      <c r="AE25" s="103">
        <f>AC25</f>
        <v>23.25</v>
      </c>
    </row>
    <row r="26" spans="1:31" x14ac:dyDescent="0.25">
      <c r="A26" s="296"/>
      <c r="B26" s="297"/>
      <c r="C26" s="63" t="s">
        <v>8</v>
      </c>
      <c r="D26" s="110">
        <f>'2023 ACCRUAL'!AE26</f>
        <v>-0.74</v>
      </c>
      <c r="E26" s="64">
        <v>5</v>
      </c>
      <c r="F26" s="75"/>
      <c r="G26" s="111">
        <f>$E26/12-F26+D26</f>
        <v>-0.32333333333333331</v>
      </c>
      <c r="H26" s="79"/>
      <c r="I26" s="70">
        <f>$E26/12+G26-H26</f>
        <v>9.3333333333333379E-2</v>
      </c>
      <c r="J26" s="79"/>
      <c r="K26" s="70">
        <f t="shared" si="84"/>
        <v>0.51</v>
      </c>
      <c r="L26" s="79"/>
      <c r="M26" s="70">
        <f t="shared" si="85"/>
        <v>0.92666666666666675</v>
      </c>
      <c r="N26" s="79">
        <v>2</v>
      </c>
      <c r="O26" s="86">
        <f t="shared" si="86"/>
        <v>-0.65666666666666651</v>
      </c>
      <c r="P26" s="80"/>
      <c r="Q26" s="86">
        <f t="shared" si="87"/>
        <v>-0.23999999999999982</v>
      </c>
      <c r="R26" s="81"/>
      <c r="S26" s="86">
        <f t="shared" si="88"/>
        <v>0.17666666666666686</v>
      </c>
      <c r="T26" s="80"/>
      <c r="U26" s="86">
        <f t="shared" si="89"/>
        <v>0.59333333333333349</v>
      </c>
      <c r="V26" s="79">
        <v>1</v>
      </c>
      <c r="W26" s="104">
        <f t="shared" si="90"/>
        <v>1.0000000000000231E-2</v>
      </c>
      <c r="X26" s="81"/>
      <c r="Y26" s="104">
        <f t="shared" si="91"/>
        <v>0.42666666666666692</v>
      </c>
      <c r="Z26" s="81"/>
      <c r="AA26" s="104">
        <f t="shared" si="92"/>
        <v>0.8433333333333336</v>
      </c>
      <c r="AB26" s="104"/>
      <c r="AC26" s="104">
        <f t="shared" si="93"/>
        <v>1.2600000000000002</v>
      </c>
      <c r="AD26" s="103" t="s">
        <v>144</v>
      </c>
      <c r="AE26" s="105">
        <f t="shared" ref="AE26:AE27" si="94">AC26</f>
        <v>1.2600000000000002</v>
      </c>
    </row>
    <row r="27" spans="1:31" s="108" customFormat="1" x14ac:dyDescent="0.25">
      <c r="A27" s="298"/>
      <c r="B27" s="299"/>
      <c r="C27" s="119" t="s">
        <v>206</v>
      </c>
      <c r="D27" s="120"/>
      <c r="E27" s="121">
        <v>7</v>
      </c>
      <c r="F27" s="122"/>
      <c r="G27" s="101"/>
      <c r="H27" s="102"/>
      <c r="I27" s="101"/>
      <c r="J27" s="102"/>
      <c r="K27" s="101"/>
      <c r="L27" s="102"/>
      <c r="M27" s="101"/>
      <c r="N27" s="102"/>
      <c r="O27" s="104"/>
      <c r="P27" s="102">
        <v>1</v>
      </c>
      <c r="Q27" s="104">
        <f>E27-P27</f>
        <v>6</v>
      </c>
      <c r="R27" s="102">
        <v>1</v>
      </c>
      <c r="S27" s="104">
        <f>Q27-R27</f>
        <v>5</v>
      </c>
      <c r="T27" s="102"/>
      <c r="U27" s="101">
        <f t="shared" si="89"/>
        <v>5.583333333333333</v>
      </c>
      <c r="V27" s="102"/>
      <c r="W27" s="101">
        <f t="shared" si="90"/>
        <v>6.1666666666666661</v>
      </c>
      <c r="X27" s="102"/>
      <c r="Y27" s="101">
        <f t="shared" si="91"/>
        <v>6.7499999999999991</v>
      </c>
      <c r="Z27" s="102"/>
      <c r="AA27" s="101">
        <f t="shared" si="92"/>
        <v>7.3333333333333321</v>
      </c>
      <c r="AB27" s="101"/>
      <c r="AC27" s="101">
        <f t="shared" si="93"/>
        <v>7.9166666666666652</v>
      </c>
      <c r="AD27" s="103"/>
      <c r="AE27" s="103">
        <f t="shared" si="94"/>
        <v>7.9166666666666652</v>
      </c>
    </row>
    <row r="28" spans="1:31" x14ac:dyDescent="0.25">
      <c r="A28" s="300" t="s">
        <v>152</v>
      </c>
      <c r="B28" s="301"/>
      <c r="C28" s="63"/>
      <c r="D28" s="66"/>
      <c r="E28" s="66"/>
      <c r="F28" s="74"/>
      <c r="G28" s="68"/>
      <c r="H28" s="78"/>
      <c r="I28" s="68"/>
      <c r="J28" s="78"/>
      <c r="K28" s="68"/>
      <c r="L28" s="78"/>
      <c r="M28" s="68"/>
      <c r="N28" s="78"/>
      <c r="O28" s="68"/>
      <c r="P28" s="78"/>
      <c r="Q28" s="68"/>
      <c r="R28" s="78"/>
      <c r="S28" s="68"/>
      <c r="T28" s="78"/>
      <c r="U28" s="68"/>
      <c r="V28" s="78"/>
      <c r="W28" s="101"/>
      <c r="X28" s="102"/>
      <c r="Y28" s="101"/>
      <c r="Z28" s="102"/>
      <c r="AA28" s="101"/>
      <c r="AB28" s="101"/>
      <c r="AC28" s="101"/>
      <c r="AD28" s="103"/>
      <c r="AE28" s="103"/>
    </row>
    <row r="29" spans="1:31" x14ac:dyDescent="0.25">
      <c r="A29" s="302"/>
      <c r="B29" s="303"/>
      <c r="C29" s="65" t="s">
        <v>9</v>
      </c>
      <c r="D29" s="66">
        <f>'2023 ACCRUAL'!AE28</f>
        <v>6.75</v>
      </c>
      <c r="E29" s="66">
        <v>15</v>
      </c>
      <c r="F29" s="74">
        <v>6</v>
      </c>
      <c r="G29" s="68">
        <f>$E29/12-F29+D29</f>
        <v>2</v>
      </c>
      <c r="H29" s="78">
        <v>1</v>
      </c>
      <c r="I29" s="68">
        <f t="shared" ref="I29" si="95">$E29/12+G29-H29</f>
        <v>2.25</v>
      </c>
      <c r="J29" s="78"/>
      <c r="K29" s="68">
        <f t="shared" ref="K29:K30" si="96">$E29/12+I29-J29</f>
        <v>3.5</v>
      </c>
      <c r="L29" s="78"/>
      <c r="M29" s="68">
        <f t="shared" ref="M29:M30" si="97">$E29/12+K29-L29</f>
        <v>4.75</v>
      </c>
      <c r="N29" s="78">
        <v>1</v>
      </c>
      <c r="O29" s="68">
        <f t="shared" ref="O29:O30" si="98">$E29/12+M29-N29</f>
        <v>5</v>
      </c>
      <c r="P29" s="78">
        <v>1</v>
      </c>
      <c r="Q29" s="68">
        <f t="shared" ref="Q29:Q30" si="99">$E29/12+O29-P29</f>
        <v>5.25</v>
      </c>
      <c r="R29" s="78"/>
      <c r="S29" s="68">
        <f t="shared" ref="S29:S30" si="100">$E29/12+Q29-R29</f>
        <v>6.5</v>
      </c>
      <c r="T29" s="78"/>
      <c r="U29" s="68">
        <f t="shared" ref="U29:U30" si="101">$E29/12+S29-T29</f>
        <v>7.75</v>
      </c>
      <c r="V29" s="78">
        <v>1</v>
      </c>
      <c r="W29" s="101">
        <f t="shared" ref="W29:W30" si="102">$E29/12+U29-V29</f>
        <v>8</v>
      </c>
      <c r="X29" s="102"/>
      <c r="Y29" s="101">
        <f t="shared" ref="Y29:Y30" si="103">$E29/12+W29-X29</f>
        <v>9.25</v>
      </c>
      <c r="Z29" s="102"/>
      <c r="AA29" s="101">
        <f t="shared" ref="AA29:AA30" si="104">$E29/12+Y29-Z29</f>
        <v>10.5</v>
      </c>
      <c r="AB29" s="101"/>
      <c r="AC29" s="101">
        <f t="shared" ref="AC29:AC30" si="105">$E29/12+AA29-AB29</f>
        <v>11.75</v>
      </c>
      <c r="AD29" s="103" t="s">
        <v>143</v>
      </c>
      <c r="AE29" s="103">
        <f>AC29</f>
        <v>11.75</v>
      </c>
    </row>
    <row r="30" spans="1:31" x14ac:dyDescent="0.25">
      <c r="A30" s="304"/>
      <c r="B30" s="305"/>
      <c r="C30" s="63" t="s">
        <v>8</v>
      </c>
      <c r="D30" s="96">
        <f>'2023 ACCRUAL'!AE29</f>
        <v>6.2600000000000007</v>
      </c>
      <c r="E30" s="64">
        <v>5</v>
      </c>
      <c r="F30" s="75"/>
      <c r="G30" s="68">
        <f>$E30/12-F30+D30</f>
        <v>6.6766666666666676</v>
      </c>
      <c r="H30" s="79"/>
      <c r="I30" s="70">
        <f>$E30/12+G30-H30</f>
        <v>7.0933333333333346</v>
      </c>
      <c r="J30" s="79"/>
      <c r="K30" s="70">
        <f t="shared" si="96"/>
        <v>7.5100000000000016</v>
      </c>
      <c r="L30" s="79"/>
      <c r="M30" s="70">
        <f t="shared" si="97"/>
        <v>7.9266666666666685</v>
      </c>
      <c r="N30" s="79"/>
      <c r="O30" s="70">
        <f t="shared" si="98"/>
        <v>8.3433333333333355</v>
      </c>
      <c r="P30" s="79"/>
      <c r="Q30" s="70">
        <f t="shared" si="99"/>
        <v>8.7600000000000016</v>
      </c>
      <c r="R30" s="79"/>
      <c r="S30" s="70">
        <f t="shared" si="100"/>
        <v>9.1766666666666676</v>
      </c>
      <c r="T30" s="79"/>
      <c r="U30" s="70">
        <f t="shared" si="101"/>
        <v>9.5933333333333337</v>
      </c>
      <c r="V30" s="79"/>
      <c r="W30" s="104">
        <f t="shared" si="102"/>
        <v>10.01</v>
      </c>
      <c r="X30" s="81"/>
      <c r="Y30" s="104">
        <f t="shared" si="103"/>
        <v>10.426666666666666</v>
      </c>
      <c r="Z30" s="81"/>
      <c r="AA30" s="104">
        <f t="shared" si="104"/>
        <v>10.843333333333332</v>
      </c>
      <c r="AB30" s="104"/>
      <c r="AC30" s="104">
        <f t="shared" si="105"/>
        <v>11.259999999999998</v>
      </c>
      <c r="AD30" s="103" t="s">
        <v>144</v>
      </c>
      <c r="AE30" s="105">
        <f t="shared" ref="AE30" si="106">AC30</f>
        <v>11.259999999999998</v>
      </c>
    </row>
    <row r="31" spans="1:31" x14ac:dyDescent="0.25">
      <c r="A31" s="294" t="s">
        <v>153</v>
      </c>
      <c r="B31" s="295"/>
      <c r="C31" s="63"/>
      <c r="D31" s="66"/>
      <c r="E31" s="66"/>
      <c r="F31" s="74"/>
      <c r="G31" s="68"/>
      <c r="H31" s="78"/>
      <c r="I31" s="68"/>
      <c r="J31" s="78"/>
      <c r="K31" s="68"/>
      <c r="L31" s="78"/>
      <c r="M31" s="68"/>
      <c r="N31" s="78"/>
      <c r="O31" s="68"/>
      <c r="P31" s="78"/>
      <c r="Q31" s="68"/>
      <c r="R31" s="78"/>
      <c r="S31" s="68"/>
      <c r="T31" s="78"/>
      <c r="U31" s="68"/>
      <c r="V31" s="78"/>
      <c r="W31" s="101"/>
      <c r="X31" s="102"/>
      <c r="Y31" s="101"/>
      <c r="Z31" s="102"/>
      <c r="AA31" s="101"/>
      <c r="AB31" s="101"/>
      <c r="AC31" s="101"/>
      <c r="AD31" s="103"/>
      <c r="AE31" s="103"/>
    </row>
    <row r="32" spans="1:31" x14ac:dyDescent="0.25">
      <c r="A32" s="296"/>
      <c r="B32" s="297"/>
      <c r="C32" s="65" t="s">
        <v>9</v>
      </c>
      <c r="D32" s="66">
        <f>'2023 ACCRUAL'!AE31</f>
        <v>6.75</v>
      </c>
      <c r="E32" s="66">
        <v>15</v>
      </c>
      <c r="F32" s="74"/>
      <c r="G32" s="68">
        <f>$E32/12-F32+D32</f>
        <v>8</v>
      </c>
      <c r="H32" s="78"/>
      <c r="I32" s="68">
        <f t="shared" ref="I32" si="107">$E32/12+G32-H32</f>
        <v>9.25</v>
      </c>
      <c r="J32" s="78"/>
      <c r="K32" s="68">
        <f t="shared" ref="K32:K33" si="108">$E32/12+I32-J32</f>
        <v>10.5</v>
      </c>
      <c r="L32" s="78"/>
      <c r="M32" s="68">
        <f t="shared" ref="M32:M33" si="109">$E32/12+K32-L32</f>
        <v>11.75</v>
      </c>
      <c r="N32" s="78"/>
      <c r="O32" s="68">
        <f>$E32/12+M32-N32</f>
        <v>13</v>
      </c>
      <c r="P32" s="78">
        <v>1</v>
      </c>
      <c r="Q32" s="68">
        <f t="shared" ref="Q32:Q33" si="110">$E32/12+O32-P32</f>
        <v>13.25</v>
      </c>
      <c r="R32" s="78"/>
      <c r="S32" s="68">
        <f t="shared" ref="S32:S33" si="111">$E32/12+Q32-R32</f>
        <v>14.5</v>
      </c>
      <c r="T32" s="78"/>
      <c r="U32" s="68">
        <f t="shared" ref="U32:U33" si="112">$E32/12+S32-T32</f>
        <v>15.75</v>
      </c>
      <c r="V32" s="78"/>
      <c r="W32" s="101">
        <f t="shared" ref="W32:W33" si="113">$E32/12+U32-V32</f>
        <v>17</v>
      </c>
      <c r="X32" s="102"/>
      <c r="Y32" s="101">
        <f t="shared" ref="Y32:Y33" si="114">$E32/12+W32-X32</f>
        <v>18.25</v>
      </c>
      <c r="Z32" s="102"/>
      <c r="AA32" s="101">
        <f t="shared" ref="AA32:AA33" si="115">$E32/12+Y32-Z32</f>
        <v>19.5</v>
      </c>
      <c r="AB32" s="101"/>
      <c r="AC32" s="101">
        <f t="shared" ref="AC32:AC33" si="116">$E32/12+AA32-AB32</f>
        <v>20.75</v>
      </c>
      <c r="AD32" s="103" t="s">
        <v>143</v>
      </c>
      <c r="AE32" s="103">
        <f>AC32</f>
        <v>20.75</v>
      </c>
    </row>
    <row r="33" spans="1:31" x14ac:dyDescent="0.25">
      <c r="A33" s="298"/>
      <c r="B33" s="299"/>
      <c r="C33" s="63" t="s">
        <v>8</v>
      </c>
      <c r="D33" s="96">
        <f>'2023 ACCRUAL'!AE32</f>
        <v>4.583333333333333</v>
      </c>
      <c r="E33" s="64">
        <v>5</v>
      </c>
      <c r="F33" s="75"/>
      <c r="G33" s="68">
        <f>$E33/12-F33+D33</f>
        <v>5</v>
      </c>
      <c r="H33" s="79"/>
      <c r="I33" s="70">
        <f>$E33/12+G33-H33</f>
        <v>5.416666666666667</v>
      </c>
      <c r="J33" s="79"/>
      <c r="K33" s="70">
        <f t="shared" si="108"/>
        <v>5.8333333333333339</v>
      </c>
      <c r="L33" s="79"/>
      <c r="M33" s="70">
        <f t="shared" si="109"/>
        <v>6.2500000000000009</v>
      </c>
      <c r="N33" s="79">
        <v>1</v>
      </c>
      <c r="O33" s="70">
        <f t="shared" ref="O33" si="117">$E33/12+M33-N33</f>
        <v>5.6666666666666679</v>
      </c>
      <c r="P33" s="79"/>
      <c r="Q33" s="70">
        <f t="shared" si="110"/>
        <v>6.0833333333333348</v>
      </c>
      <c r="R33" s="79"/>
      <c r="S33" s="70">
        <f t="shared" si="111"/>
        <v>6.5000000000000018</v>
      </c>
      <c r="T33" s="79"/>
      <c r="U33" s="70">
        <f t="shared" si="112"/>
        <v>6.9166666666666687</v>
      </c>
      <c r="V33" s="79"/>
      <c r="W33" s="104">
        <f t="shared" si="113"/>
        <v>7.3333333333333357</v>
      </c>
      <c r="X33" s="81"/>
      <c r="Y33" s="104">
        <f t="shared" si="114"/>
        <v>7.7500000000000027</v>
      </c>
      <c r="Z33" s="81"/>
      <c r="AA33" s="104">
        <f t="shared" si="115"/>
        <v>8.1666666666666696</v>
      </c>
      <c r="AB33" s="104"/>
      <c r="AC33" s="104">
        <f t="shared" si="116"/>
        <v>8.5833333333333357</v>
      </c>
      <c r="AD33" s="103" t="s">
        <v>144</v>
      </c>
      <c r="AE33" s="105">
        <f t="shared" ref="AE33" si="118">AC33</f>
        <v>8.5833333333333357</v>
      </c>
    </row>
    <row r="34" spans="1:31" ht="16.5" customHeight="1" x14ac:dyDescent="0.25">
      <c r="A34" s="326" t="s">
        <v>154</v>
      </c>
      <c r="B34" s="327"/>
      <c r="C34" s="65" t="s">
        <v>9</v>
      </c>
      <c r="D34" s="66">
        <f>'2023 ACCRUAL'!AE34</f>
        <v>7.25</v>
      </c>
      <c r="E34" s="66">
        <v>15</v>
      </c>
      <c r="F34" s="74">
        <v>4</v>
      </c>
      <c r="G34" s="68">
        <f>$E34/12-F34+D34</f>
        <v>4.5</v>
      </c>
      <c r="H34" s="78">
        <v>2</v>
      </c>
      <c r="I34" s="68">
        <f t="shared" ref="I34" si="119">$E34/12+G34-H34</f>
        <v>3.75</v>
      </c>
      <c r="J34" s="78"/>
      <c r="K34" s="68">
        <f t="shared" ref="K34:K35" si="120">$E34/12+I34-J34</f>
        <v>5</v>
      </c>
      <c r="L34" s="78"/>
      <c r="M34" s="68">
        <f t="shared" ref="M34:M35" si="121">$E34/12+K34-L34</f>
        <v>6.25</v>
      </c>
      <c r="N34" s="78">
        <v>3</v>
      </c>
      <c r="O34" s="68">
        <f t="shared" ref="O34:O35" si="122">$E34/12+M34-N34</f>
        <v>4.5</v>
      </c>
      <c r="P34" s="78"/>
      <c r="Q34" s="68">
        <f t="shared" ref="Q34:Q35" si="123">$E34/12+O34-P34</f>
        <v>5.75</v>
      </c>
      <c r="R34" s="78"/>
      <c r="S34" s="68">
        <f t="shared" ref="S34:S35" si="124">$E34/12+Q34-R34</f>
        <v>7</v>
      </c>
      <c r="T34" s="78">
        <v>3</v>
      </c>
      <c r="U34" s="68">
        <f t="shared" ref="U34:U35" si="125">$E34/12+S34-T34</f>
        <v>5.25</v>
      </c>
      <c r="V34" s="78"/>
      <c r="W34" s="101">
        <f t="shared" ref="W34:W35" si="126">$E34/12+U34-V34</f>
        <v>6.5</v>
      </c>
      <c r="X34" s="102"/>
      <c r="Y34" s="101">
        <f t="shared" ref="Y34:Y35" si="127">$E34/12+W34-X34</f>
        <v>7.75</v>
      </c>
      <c r="Z34" s="102"/>
      <c r="AA34" s="101">
        <f t="shared" ref="AA34:AA35" si="128">$E34/12+Y34-Z34</f>
        <v>9</v>
      </c>
      <c r="AB34" s="101"/>
      <c r="AC34" s="101">
        <f t="shared" ref="AC34:AC35" si="129">$E34/12+AA34-AB34</f>
        <v>10.25</v>
      </c>
      <c r="AD34" s="103" t="s">
        <v>143</v>
      </c>
      <c r="AE34" s="103">
        <f>AC34</f>
        <v>10.25</v>
      </c>
    </row>
    <row r="35" spans="1:31" x14ac:dyDescent="0.25">
      <c r="A35" s="143"/>
      <c r="B35" s="144"/>
      <c r="C35" s="63" t="s">
        <v>8</v>
      </c>
      <c r="D35" s="96">
        <f>'2023 ACCRUAL'!AE35</f>
        <v>2.7499999999999996</v>
      </c>
      <c r="E35" s="64">
        <v>5</v>
      </c>
      <c r="F35" s="75"/>
      <c r="G35" s="68">
        <f>$E35/12-F35+D35</f>
        <v>3.1666666666666661</v>
      </c>
      <c r="H35" s="79"/>
      <c r="I35" s="70">
        <f>$E35/12+G35-H35</f>
        <v>3.5833333333333326</v>
      </c>
      <c r="J35" s="79"/>
      <c r="K35" s="70">
        <f t="shared" si="120"/>
        <v>3.9999999999999991</v>
      </c>
      <c r="L35" s="79"/>
      <c r="M35" s="70">
        <f t="shared" si="121"/>
        <v>4.4166666666666661</v>
      </c>
      <c r="N35" s="79"/>
      <c r="O35" s="70">
        <f t="shared" si="122"/>
        <v>4.833333333333333</v>
      </c>
      <c r="P35" s="79">
        <v>1</v>
      </c>
      <c r="Q35" s="70">
        <f t="shared" si="123"/>
        <v>4.25</v>
      </c>
      <c r="R35" s="79"/>
      <c r="S35" s="70">
        <f t="shared" si="124"/>
        <v>4.666666666666667</v>
      </c>
      <c r="T35" s="79"/>
      <c r="U35" s="70">
        <f t="shared" si="125"/>
        <v>5.0833333333333339</v>
      </c>
      <c r="V35" s="79"/>
      <c r="W35" s="104">
        <f t="shared" si="126"/>
        <v>5.5000000000000009</v>
      </c>
      <c r="X35" s="81"/>
      <c r="Y35" s="104">
        <f t="shared" si="127"/>
        <v>5.9166666666666679</v>
      </c>
      <c r="Z35" s="81"/>
      <c r="AA35" s="104">
        <f t="shared" si="128"/>
        <v>6.3333333333333348</v>
      </c>
      <c r="AB35" s="104"/>
      <c r="AC35" s="104">
        <f t="shared" si="129"/>
        <v>6.7500000000000018</v>
      </c>
      <c r="AD35" s="103" t="s">
        <v>144</v>
      </c>
      <c r="AE35" s="105">
        <f t="shared" ref="AE35" si="130">AC35</f>
        <v>6.7500000000000018</v>
      </c>
    </row>
    <row r="36" spans="1:31" x14ac:dyDescent="0.25">
      <c r="A36" s="294" t="s">
        <v>155</v>
      </c>
      <c r="B36" s="295"/>
      <c r="C36" s="63"/>
      <c r="D36" s="66"/>
      <c r="E36" s="66"/>
      <c r="F36" s="74"/>
      <c r="G36" s="68"/>
      <c r="H36" s="78"/>
      <c r="I36" s="68"/>
      <c r="J36" s="78"/>
      <c r="K36" s="68"/>
      <c r="L36" s="78"/>
      <c r="M36" s="68"/>
      <c r="N36" s="78"/>
      <c r="O36" s="68"/>
      <c r="P36" s="78"/>
      <c r="Q36" s="68"/>
      <c r="R36" s="78"/>
      <c r="S36" s="68"/>
      <c r="T36" s="78"/>
      <c r="U36" s="68"/>
      <c r="V36" s="78"/>
      <c r="W36" s="101"/>
      <c r="X36" s="102"/>
      <c r="Y36" s="101"/>
      <c r="Z36" s="102"/>
      <c r="AA36" s="101"/>
      <c r="AB36" s="101"/>
      <c r="AC36" s="101"/>
      <c r="AD36" s="103"/>
      <c r="AE36" s="103"/>
    </row>
    <row r="37" spans="1:31" x14ac:dyDescent="0.25">
      <c r="A37" s="296"/>
      <c r="B37" s="297"/>
      <c r="C37" s="65" t="s">
        <v>9</v>
      </c>
      <c r="D37" s="66">
        <f>'2023 ACCRUAL'!AE37</f>
        <v>4.25</v>
      </c>
      <c r="E37" s="66">
        <v>15</v>
      </c>
      <c r="F37" s="74">
        <v>8</v>
      </c>
      <c r="G37" s="111">
        <f>$E37/12-F37+D37</f>
        <v>-2.5</v>
      </c>
      <c r="H37" s="78">
        <v>1</v>
      </c>
      <c r="I37" s="111">
        <f t="shared" ref="I37" si="131">$E37/12+G37-H37</f>
        <v>-2.25</v>
      </c>
      <c r="J37" s="78">
        <v>0.5</v>
      </c>
      <c r="K37" s="111">
        <f t="shared" ref="K37:K38" si="132">$E37/12+I37-J37</f>
        <v>-1.5</v>
      </c>
      <c r="L37" s="112"/>
      <c r="M37" s="111">
        <f t="shared" ref="M37:M38" si="133">$E37/12+K37-L37</f>
        <v>-0.25</v>
      </c>
      <c r="N37" s="78">
        <v>2</v>
      </c>
      <c r="O37" s="111">
        <f t="shared" ref="O37:O38" si="134">$E37/12+M37-N37</f>
        <v>-1</v>
      </c>
      <c r="P37" s="78"/>
      <c r="Q37" s="68">
        <f t="shared" ref="Q37:Q38" si="135">$E37/12+O37-P37</f>
        <v>0.25</v>
      </c>
      <c r="R37" s="78"/>
      <c r="S37" s="68">
        <f t="shared" ref="S37:S38" si="136">$E37/12+Q37-R37</f>
        <v>1.5</v>
      </c>
      <c r="T37" s="78">
        <v>2</v>
      </c>
      <c r="U37" s="68">
        <f t="shared" ref="U37:U38" si="137">$E37/12+S37-T37</f>
        <v>0.75</v>
      </c>
      <c r="V37" s="78"/>
      <c r="W37" s="101">
        <f t="shared" ref="W37:W38" si="138">$E37/12+U37-V37</f>
        <v>2</v>
      </c>
      <c r="X37" s="102"/>
      <c r="Y37" s="101">
        <f t="shared" ref="Y37:Y38" si="139">$E37/12+W37-X37</f>
        <v>3.25</v>
      </c>
      <c r="Z37" s="102"/>
      <c r="AA37" s="101">
        <f t="shared" ref="AA37:AA38" si="140">$E37/12+Y37-Z37</f>
        <v>4.5</v>
      </c>
      <c r="AB37" s="101"/>
      <c r="AC37" s="101">
        <f t="shared" ref="AC37:AC38" si="141">$E37/12+AA37-AB37</f>
        <v>5.75</v>
      </c>
      <c r="AD37" s="103" t="s">
        <v>143</v>
      </c>
      <c r="AE37" s="103">
        <f>AC37</f>
        <v>5.75</v>
      </c>
    </row>
    <row r="38" spans="1:31" x14ac:dyDescent="0.25">
      <c r="A38" s="298"/>
      <c r="B38" s="299"/>
      <c r="C38" s="63" t="s">
        <v>8</v>
      </c>
      <c r="D38" s="96">
        <f>'2023 ACCRUAL'!AE38</f>
        <v>3.7499999999999996</v>
      </c>
      <c r="E38" s="64">
        <v>5</v>
      </c>
      <c r="F38" s="75"/>
      <c r="G38" s="68">
        <f>$E38/12-F38+D38</f>
        <v>4.1666666666666661</v>
      </c>
      <c r="H38" s="79"/>
      <c r="I38" s="70">
        <f>$E38/12+G38-H38</f>
        <v>4.583333333333333</v>
      </c>
      <c r="J38" s="79"/>
      <c r="K38" s="70">
        <f t="shared" si="132"/>
        <v>5</v>
      </c>
      <c r="L38" s="79"/>
      <c r="M38" s="70">
        <f t="shared" si="133"/>
        <v>5.416666666666667</v>
      </c>
      <c r="N38" s="79"/>
      <c r="O38" s="70">
        <f t="shared" si="134"/>
        <v>5.8333333333333339</v>
      </c>
      <c r="P38" s="79"/>
      <c r="Q38" s="70">
        <f t="shared" si="135"/>
        <v>6.2500000000000009</v>
      </c>
      <c r="R38" s="79">
        <v>5</v>
      </c>
      <c r="S38" s="70">
        <f t="shared" si="136"/>
        <v>1.6666666666666679</v>
      </c>
      <c r="T38" s="79"/>
      <c r="U38" s="70">
        <f t="shared" si="137"/>
        <v>2.0833333333333344</v>
      </c>
      <c r="V38" s="79">
        <v>0.5</v>
      </c>
      <c r="W38" s="104">
        <f t="shared" si="138"/>
        <v>2.0000000000000009</v>
      </c>
      <c r="X38" s="81"/>
      <c r="Y38" s="104">
        <f t="shared" si="139"/>
        <v>2.4166666666666674</v>
      </c>
      <c r="Z38" s="81"/>
      <c r="AA38" s="104">
        <f t="shared" si="140"/>
        <v>2.8333333333333339</v>
      </c>
      <c r="AB38" s="104"/>
      <c r="AC38" s="104">
        <f t="shared" si="141"/>
        <v>3.2500000000000004</v>
      </c>
      <c r="AD38" s="103" t="s">
        <v>144</v>
      </c>
      <c r="AE38" s="105">
        <f t="shared" ref="AE38" si="142">AC38</f>
        <v>3.2500000000000004</v>
      </c>
    </row>
    <row r="39" spans="1:31" x14ac:dyDescent="0.25">
      <c r="A39" s="300" t="s">
        <v>156</v>
      </c>
      <c r="B39" s="301"/>
      <c r="C39" s="63"/>
      <c r="D39" s="66"/>
      <c r="E39" s="66"/>
      <c r="F39" s="74"/>
      <c r="G39" s="68"/>
      <c r="H39" s="78"/>
      <c r="I39" s="68"/>
      <c r="J39" s="78"/>
      <c r="K39" s="68"/>
      <c r="L39" s="78"/>
      <c r="M39" s="68"/>
      <c r="N39" s="78"/>
      <c r="O39" s="68"/>
      <c r="P39" s="78"/>
      <c r="Q39" s="68"/>
      <c r="R39" s="78"/>
      <c r="S39" s="68"/>
      <c r="T39" s="78"/>
      <c r="U39" s="68"/>
      <c r="V39" s="78"/>
      <c r="W39" s="101"/>
      <c r="X39" s="102"/>
      <c r="Y39" s="101"/>
      <c r="Z39" s="102"/>
      <c r="AA39" s="101"/>
      <c r="AB39" s="101"/>
      <c r="AC39" s="101"/>
      <c r="AD39" s="103"/>
      <c r="AE39" s="103"/>
    </row>
    <row r="40" spans="1:31" x14ac:dyDescent="0.25">
      <c r="A40" s="302"/>
      <c r="B40" s="303"/>
      <c r="C40" s="65" t="s">
        <v>9</v>
      </c>
      <c r="D40" s="66">
        <f>'2023 ACCRUAL'!AE40</f>
        <v>5.75</v>
      </c>
      <c r="E40" s="66">
        <v>15</v>
      </c>
      <c r="F40" s="74">
        <v>3</v>
      </c>
      <c r="G40" s="68">
        <f>$E40/12-F40+D40</f>
        <v>4</v>
      </c>
      <c r="H40" s="78"/>
      <c r="I40" s="68">
        <f t="shared" ref="I40" si="143">$E40/12+G40-H40</f>
        <v>5.25</v>
      </c>
      <c r="J40" s="78">
        <v>1</v>
      </c>
      <c r="K40" s="68">
        <f t="shared" ref="K40:K41" si="144">$E40/12+I40-J40</f>
        <v>5.5</v>
      </c>
      <c r="L40" s="78">
        <v>1</v>
      </c>
      <c r="M40" s="68">
        <f t="shared" ref="M40:M41" si="145">$E40/12+K40-L40</f>
        <v>5.75</v>
      </c>
      <c r="N40" s="78"/>
      <c r="O40" s="68">
        <f t="shared" ref="O40:O41" si="146">$E40/12+M40-N40</f>
        <v>7</v>
      </c>
      <c r="P40" s="78">
        <v>1</v>
      </c>
      <c r="Q40" s="68">
        <f t="shared" ref="Q40:Q41" si="147">$E40/12+O40-P40</f>
        <v>7.25</v>
      </c>
      <c r="R40" s="78">
        <v>4</v>
      </c>
      <c r="S40" s="68">
        <f t="shared" ref="S40:S41" si="148">$E40/12+Q40-R40</f>
        <v>4.5</v>
      </c>
      <c r="T40" s="78"/>
      <c r="U40" s="68">
        <f t="shared" ref="U40" si="149">$E40/12+S40-T40</f>
        <v>5.75</v>
      </c>
      <c r="V40" s="78">
        <v>1</v>
      </c>
      <c r="W40" s="101">
        <f t="shared" ref="W40:W41" si="150">$E40/12+U40-V40</f>
        <v>6</v>
      </c>
      <c r="X40" s="102"/>
      <c r="Y40" s="101">
        <f t="shared" ref="Y40:Y41" si="151">$E40/12+W40-X40</f>
        <v>7.25</v>
      </c>
      <c r="Z40" s="102"/>
      <c r="AA40" s="101">
        <f t="shared" ref="AA40:AA41" si="152">$E40/12+Y40-Z40</f>
        <v>8.5</v>
      </c>
      <c r="AB40" s="101"/>
      <c r="AC40" s="101">
        <f t="shared" ref="AC40:AC41" si="153">$E40/12+AA40-AB40</f>
        <v>9.75</v>
      </c>
      <c r="AD40" s="103" t="s">
        <v>143</v>
      </c>
      <c r="AE40" s="103">
        <f>AC40</f>
        <v>9.75</v>
      </c>
    </row>
    <row r="41" spans="1:31" x14ac:dyDescent="0.25">
      <c r="A41" s="304"/>
      <c r="B41" s="305"/>
      <c r="C41" s="63" t="s">
        <v>8</v>
      </c>
      <c r="D41" s="96">
        <f>'2023 ACCRUAL'!AE41</f>
        <v>1.7500000000000004</v>
      </c>
      <c r="E41" s="64">
        <v>5</v>
      </c>
      <c r="F41" s="75"/>
      <c r="G41" s="68">
        <f>$E41/12-F41+D41</f>
        <v>2.166666666666667</v>
      </c>
      <c r="H41" s="79">
        <v>1</v>
      </c>
      <c r="I41" s="70">
        <f>$E41/12+G41-H41</f>
        <v>1.5833333333333335</v>
      </c>
      <c r="J41" s="79"/>
      <c r="K41" s="70">
        <f t="shared" si="144"/>
        <v>2</v>
      </c>
      <c r="L41" s="79"/>
      <c r="M41" s="70">
        <f t="shared" si="145"/>
        <v>2.4166666666666665</v>
      </c>
      <c r="N41" s="79"/>
      <c r="O41" s="70">
        <f t="shared" si="146"/>
        <v>2.833333333333333</v>
      </c>
      <c r="P41" s="79">
        <v>1</v>
      </c>
      <c r="Q41" s="70">
        <f t="shared" si="147"/>
        <v>2.2499999999999996</v>
      </c>
      <c r="R41" s="79"/>
      <c r="S41" s="70">
        <f t="shared" si="148"/>
        <v>2.6666666666666661</v>
      </c>
      <c r="T41" s="79"/>
      <c r="U41" s="70">
        <f>$E41/12+S41-T41</f>
        <v>3.0833333333333326</v>
      </c>
      <c r="V41" s="79">
        <v>2</v>
      </c>
      <c r="W41" s="104">
        <f t="shared" si="150"/>
        <v>1.4999999999999991</v>
      </c>
      <c r="X41" s="81"/>
      <c r="Y41" s="104">
        <f t="shared" si="151"/>
        <v>1.9166666666666659</v>
      </c>
      <c r="Z41" s="81"/>
      <c r="AA41" s="104">
        <f t="shared" si="152"/>
        <v>2.3333333333333326</v>
      </c>
      <c r="AB41" s="104"/>
      <c r="AC41" s="104">
        <f t="shared" si="153"/>
        <v>2.7499999999999991</v>
      </c>
      <c r="AD41" s="103" t="s">
        <v>144</v>
      </c>
      <c r="AE41" s="105">
        <f t="shared" ref="AE41" si="154">AC41</f>
        <v>2.7499999999999991</v>
      </c>
    </row>
    <row r="42" spans="1:31" x14ac:dyDescent="0.25">
      <c r="A42" s="294" t="s">
        <v>157</v>
      </c>
      <c r="B42" s="295"/>
      <c r="C42" s="63"/>
      <c r="D42" s="66"/>
      <c r="E42" s="66"/>
      <c r="F42" s="74"/>
      <c r="G42" s="68"/>
      <c r="H42" s="78"/>
      <c r="I42" s="68"/>
      <c r="J42" s="78"/>
      <c r="K42" s="68"/>
      <c r="L42" s="78"/>
      <c r="M42" s="68"/>
      <c r="N42" s="78"/>
      <c r="O42" s="68"/>
      <c r="P42" s="78"/>
      <c r="Q42" s="68"/>
      <c r="R42" s="78"/>
      <c r="S42" s="68"/>
      <c r="T42" s="78"/>
      <c r="U42" s="68"/>
      <c r="V42" s="78"/>
      <c r="W42" s="101"/>
      <c r="X42" s="102"/>
      <c r="Y42" s="101"/>
      <c r="Z42" s="102"/>
      <c r="AA42" s="101"/>
      <c r="AB42" s="101"/>
      <c r="AC42" s="101"/>
      <c r="AD42" s="103"/>
      <c r="AE42" s="103"/>
    </row>
    <row r="43" spans="1:31" x14ac:dyDescent="0.25">
      <c r="A43" s="296"/>
      <c r="B43" s="297"/>
      <c r="C43" s="65" t="s">
        <v>9</v>
      </c>
      <c r="D43" s="66">
        <f>'2023 ACCRUAL'!AE43</f>
        <v>5.25</v>
      </c>
      <c r="E43" s="66">
        <v>15</v>
      </c>
      <c r="F43" s="74">
        <v>4</v>
      </c>
      <c r="G43" s="68">
        <f>$E43/12-F43+D43</f>
        <v>2.5</v>
      </c>
      <c r="H43" s="78"/>
      <c r="I43" s="68">
        <f t="shared" ref="I43" si="155">$E43/12+G43-H43</f>
        <v>3.75</v>
      </c>
      <c r="J43" s="78">
        <v>1</v>
      </c>
      <c r="K43" s="68">
        <f t="shared" ref="K43:K44" si="156">$E43/12+I43-J43</f>
        <v>4</v>
      </c>
      <c r="L43" s="78">
        <v>1</v>
      </c>
      <c r="M43" s="68">
        <f t="shared" ref="M43:M44" si="157">$E43/12+K43-L43</f>
        <v>4.25</v>
      </c>
      <c r="N43" s="78"/>
      <c r="O43" s="68">
        <f t="shared" ref="O43:O44" si="158">$E43/12+M43-N43</f>
        <v>5.5</v>
      </c>
      <c r="P43" s="78">
        <v>2</v>
      </c>
      <c r="Q43" s="68">
        <f t="shared" ref="Q43:Q44" si="159">$E43/12+O43-P43</f>
        <v>4.75</v>
      </c>
      <c r="R43" s="61">
        <v>2</v>
      </c>
      <c r="S43" s="68">
        <f>$E43/12+Q43-R43</f>
        <v>4</v>
      </c>
      <c r="T43" s="78"/>
      <c r="U43" s="68">
        <f>$E43/12+S43-T43</f>
        <v>5.25</v>
      </c>
      <c r="V43" s="78">
        <v>1</v>
      </c>
      <c r="W43" s="101">
        <f t="shared" ref="W43:W44" si="160">$E43/12+U43-V43</f>
        <v>5.5</v>
      </c>
      <c r="X43" s="102"/>
      <c r="Y43" s="101">
        <f t="shared" ref="Y43:Y44" si="161">$E43/12+W43-X43</f>
        <v>6.75</v>
      </c>
      <c r="Z43" s="102"/>
      <c r="AA43" s="101">
        <f t="shared" ref="AA43:AA44" si="162">$E43/12+Y43-Z43</f>
        <v>8</v>
      </c>
      <c r="AB43" s="101"/>
      <c r="AC43" s="101">
        <f t="shared" ref="AC43:AC44" si="163">$E43/12+AA43-AB43</f>
        <v>9.25</v>
      </c>
      <c r="AD43" s="103" t="s">
        <v>143</v>
      </c>
      <c r="AE43" s="103">
        <f>AC43</f>
        <v>9.25</v>
      </c>
    </row>
    <row r="44" spans="1:31" x14ac:dyDescent="0.25">
      <c r="A44" s="298"/>
      <c r="B44" s="299"/>
      <c r="C44" s="63" t="s">
        <v>8</v>
      </c>
      <c r="D44" s="96">
        <f>'2023 ACCRUAL'!AE44</f>
        <v>2.7499999999999996</v>
      </c>
      <c r="E44" s="64">
        <v>5</v>
      </c>
      <c r="F44" s="75"/>
      <c r="G44" s="68">
        <f>$E44/12-F44+D44</f>
        <v>3.1666666666666661</v>
      </c>
      <c r="H44" s="79">
        <v>2</v>
      </c>
      <c r="I44" s="70">
        <f>$E44/12+G44-H44</f>
        <v>1.5833333333333326</v>
      </c>
      <c r="J44" s="79"/>
      <c r="K44" s="70">
        <f t="shared" si="156"/>
        <v>1.9999999999999993</v>
      </c>
      <c r="L44" s="79"/>
      <c r="M44" s="70">
        <f t="shared" si="157"/>
        <v>2.4166666666666661</v>
      </c>
      <c r="N44" s="79"/>
      <c r="O44" s="70">
        <f t="shared" si="158"/>
        <v>2.8333333333333326</v>
      </c>
      <c r="P44" s="79">
        <v>3</v>
      </c>
      <c r="Q44" s="70">
        <f t="shared" si="159"/>
        <v>0.24999999999999911</v>
      </c>
      <c r="R44" s="79"/>
      <c r="S44" s="70">
        <f>$E44/12+Q44-R44</f>
        <v>0.66666666666666585</v>
      </c>
      <c r="T44" s="79"/>
      <c r="U44" s="70">
        <f t="shared" ref="U44" si="164">$E44/12+S44-T44</f>
        <v>1.0833333333333326</v>
      </c>
      <c r="V44" s="79"/>
      <c r="W44" s="104">
        <f t="shared" si="160"/>
        <v>1.4999999999999993</v>
      </c>
      <c r="X44" s="81"/>
      <c r="Y44" s="104">
        <f t="shared" si="161"/>
        <v>1.9166666666666661</v>
      </c>
      <c r="Z44" s="81"/>
      <c r="AA44" s="104">
        <f t="shared" si="162"/>
        <v>2.3333333333333326</v>
      </c>
      <c r="AB44" s="104"/>
      <c r="AC44" s="104">
        <f t="shared" si="163"/>
        <v>2.7499999999999991</v>
      </c>
      <c r="AD44" s="103" t="s">
        <v>144</v>
      </c>
      <c r="AE44" s="105">
        <f t="shared" ref="AE44" si="165">AC44</f>
        <v>2.7499999999999991</v>
      </c>
    </row>
    <row r="45" spans="1:31" x14ac:dyDescent="0.25">
      <c r="A45" s="294" t="s">
        <v>158</v>
      </c>
      <c r="B45" s="295"/>
      <c r="C45" s="63"/>
      <c r="D45" s="66"/>
      <c r="E45" s="66"/>
      <c r="F45" s="74"/>
      <c r="G45" s="68"/>
      <c r="H45" s="78"/>
      <c r="I45" s="68"/>
      <c r="J45" s="78"/>
      <c r="K45" s="68"/>
      <c r="L45" s="78"/>
      <c r="M45" s="68"/>
      <c r="N45" s="78"/>
      <c r="O45" s="68"/>
      <c r="P45" s="78"/>
      <c r="Q45" s="68"/>
      <c r="R45" s="78"/>
      <c r="S45" s="68"/>
      <c r="T45" s="78"/>
      <c r="U45" s="68"/>
      <c r="V45" s="78"/>
      <c r="W45" s="101"/>
      <c r="X45" s="102"/>
      <c r="Y45" s="101"/>
      <c r="Z45" s="102"/>
      <c r="AA45" s="101"/>
      <c r="AB45" s="101"/>
      <c r="AC45" s="101"/>
      <c r="AD45" s="103"/>
      <c r="AE45" s="103"/>
    </row>
    <row r="46" spans="1:31" x14ac:dyDescent="0.25">
      <c r="A46" s="296"/>
      <c r="B46" s="297"/>
      <c r="C46" s="65" t="s">
        <v>9</v>
      </c>
      <c r="D46" s="66">
        <f>'2023 ACCRUAL'!AE46</f>
        <v>6</v>
      </c>
      <c r="E46" s="66">
        <v>15</v>
      </c>
      <c r="F46" s="74">
        <v>4</v>
      </c>
      <c r="G46" s="68">
        <f>$E46/12-F46+D46</f>
        <v>3.25</v>
      </c>
      <c r="H46" s="78"/>
      <c r="I46" s="68">
        <f t="shared" ref="I46:I49" si="166">$E46/12+G46-H46</f>
        <v>4.5</v>
      </c>
      <c r="J46" s="78"/>
      <c r="K46" s="68">
        <f t="shared" ref="K46:K50" si="167">$E46/12+I46-J46</f>
        <v>5.75</v>
      </c>
      <c r="L46" s="78"/>
      <c r="M46" s="68">
        <f t="shared" ref="M46:M50" si="168">$E46/12+K46-L46</f>
        <v>7</v>
      </c>
      <c r="N46" s="78"/>
      <c r="O46" s="68">
        <f t="shared" ref="O46:O50" si="169">$E46/12+M46-N46</f>
        <v>8.25</v>
      </c>
      <c r="P46" s="78"/>
      <c r="Q46" s="68">
        <f t="shared" ref="Q46:Q50" si="170">$E46/12+O46-P46</f>
        <v>9.5</v>
      </c>
      <c r="R46" s="78">
        <v>4</v>
      </c>
      <c r="S46" s="68">
        <f t="shared" ref="S46:S50" si="171">$E46/12+Q46-R46</f>
        <v>6.75</v>
      </c>
      <c r="T46" s="78"/>
      <c r="U46" s="68">
        <f t="shared" ref="U46:U50" si="172">$E46/12+S46-T46</f>
        <v>8</v>
      </c>
      <c r="V46" s="78"/>
      <c r="W46" s="101">
        <f t="shared" ref="W46:W50" si="173">$E46/12+U46-V46</f>
        <v>9.25</v>
      </c>
      <c r="X46" s="102"/>
      <c r="Y46" s="101">
        <f t="shared" ref="Y46:Y50" si="174">$E46/12+W46-X46</f>
        <v>10.5</v>
      </c>
      <c r="Z46" s="102"/>
      <c r="AA46" s="101">
        <f t="shared" ref="AA46:AA50" si="175">$E46/12+Y46-Z46</f>
        <v>11.75</v>
      </c>
      <c r="AB46" s="101"/>
      <c r="AC46" s="101">
        <f t="shared" ref="AC46:AC50" si="176">$E46/12+AA46-AB46</f>
        <v>13</v>
      </c>
      <c r="AD46" s="103" t="s">
        <v>143</v>
      </c>
      <c r="AE46" s="103">
        <f>AC46</f>
        <v>13</v>
      </c>
    </row>
    <row r="47" spans="1:31" x14ac:dyDescent="0.25">
      <c r="A47" s="298"/>
      <c r="B47" s="299"/>
      <c r="C47" s="63" t="s">
        <v>8</v>
      </c>
      <c r="D47" s="96">
        <f>'2023 ACCRUAL'!AE47</f>
        <v>3.333333333333333</v>
      </c>
      <c r="E47" s="64">
        <v>5</v>
      </c>
      <c r="F47" s="75">
        <v>1</v>
      </c>
      <c r="G47" s="68">
        <f>$E47/12-F47+D47</f>
        <v>2.75</v>
      </c>
      <c r="H47" s="79"/>
      <c r="I47" s="70">
        <f>$E47/12+G47-H47</f>
        <v>3.1666666666666665</v>
      </c>
      <c r="J47" s="79">
        <v>3</v>
      </c>
      <c r="K47" s="70">
        <f t="shared" si="167"/>
        <v>0.58333333333333304</v>
      </c>
      <c r="L47" s="79"/>
      <c r="M47" s="70">
        <f t="shared" si="168"/>
        <v>0.99999999999999978</v>
      </c>
      <c r="N47" s="79">
        <v>1</v>
      </c>
      <c r="O47" s="70">
        <f t="shared" si="169"/>
        <v>0.41666666666666652</v>
      </c>
      <c r="P47" s="79"/>
      <c r="Q47" s="70">
        <f t="shared" si="170"/>
        <v>0.83333333333333326</v>
      </c>
      <c r="R47" s="79">
        <v>2</v>
      </c>
      <c r="S47" s="86">
        <f t="shared" si="171"/>
        <v>-0.75</v>
      </c>
      <c r="T47" s="80"/>
      <c r="U47" s="86">
        <f t="shared" si="172"/>
        <v>-0.33333333333333331</v>
      </c>
      <c r="V47" s="79"/>
      <c r="W47" s="104">
        <f t="shared" si="173"/>
        <v>8.333333333333337E-2</v>
      </c>
      <c r="X47" s="81"/>
      <c r="Y47" s="104">
        <f t="shared" si="174"/>
        <v>0.5</v>
      </c>
      <c r="Z47" s="81"/>
      <c r="AA47" s="104">
        <f t="shared" si="175"/>
        <v>0.91666666666666674</v>
      </c>
      <c r="AB47" s="104"/>
      <c r="AC47" s="104">
        <f t="shared" si="176"/>
        <v>1.3333333333333335</v>
      </c>
      <c r="AD47" s="103" t="s">
        <v>144</v>
      </c>
      <c r="AE47" s="105">
        <f t="shared" ref="AE47" si="177">AC47</f>
        <v>1.3333333333333335</v>
      </c>
    </row>
    <row r="48" spans="1:31" x14ac:dyDescent="0.25">
      <c r="A48" s="294" t="s">
        <v>159</v>
      </c>
      <c r="B48" s="295"/>
      <c r="C48" s="63"/>
      <c r="D48" s="66"/>
      <c r="E48" s="66"/>
      <c r="F48" s="74"/>
      <c r="G48" s="68"/>
      <c r="H48" s="78"/>
      <c r="I48" s="68"/>
      <c r="J48" s="78"/>
      <c r="K48" s="68"/>
      <c r="L48" s="78"/>
      <c r="M48" s="68"/>
      <c r="N48" s="78"/>
      <c r="O48" s="68"/>
      <c r="P48" s="78"/>
      <c r="Q48" s="68"/>
      <c r="R48" s="78"/>
      <c r="S48" s="68"/>
      <c r="T48" s="78"/>
      <c r="U48" s="68"/>
      <c r="V48" s="78"/>
      <c r="W48" s="101"/>
      <c r="X48" s="102"/>
      <c r="Y48" s="101"/>
      <c r="Z48" s="102"/>
      <c r="AA48" s="101"/>
      <c r="AB48" s="101"/>
      <c r="AC48" s="101"/>
      <c r="AD48" s="103"/>
      <c r="AE48" s="103"/>
    </row>
    <row r="49" spans="1:31" x14ac:dyDescent="0.25">
      <c r="A49" s="296"/>
      <c r="B49" s="297"/>
      <c r="C49" s="65" t="s">
        <v>9</v>
      </c>
      <c r="D49" s="66">
        <f>'2023 ACCRUAL'!AE49</f>
        <v>10</v>
      </c>
      <c r="E49" s="66">
        <v>15</v>
      </c>
      <c r="F49" s="75">
        <v>4</v>
      </c>
      <c r="G49" s="68">
        <f>$E49/12-F49+D49</f>
        <v>7.25</v>
      </c>
      <c r="H49" s="79"/>
      <c r="I49" s="68">
        <f t="shared" si="166"/>
        <v>8.5</v>
      </c>
      <c r="J49" s="79"/>
      <c r="K49" s="68">
        <f t="shared" si="167"/>
        <v>9.75</v>
      </c>
      <c r="L49" s="79"/>
      <c r="M49" s="68">
        <f t="shared" si="168"/>
        <v>11</v>
      </c>
      <c r="N49" s="79">
        <v>1</v>
      </c>
      <c r="O49" s="68">
        <f t="shared" si="169"/>
        <v>11.25</v>
      </c>
      <c r="P49" s="79">
        <v>1</v>
      </c>
      <c r="Q49" s="68">
        <f t="shared" si="170"/>
        <v>11.5</v>
      </c>
      <c r="R49" s="79"/>
      <c r="S49" s="68">
        <f t="shared" si="171"/>
        <v>12.75</v>
      </c>
      <c r="T49" s="79"/>
      <c r="U49" s="68">
        <f t="shared" si="172"/>
        <v>14</v>
      </c>
      <c r="V49" s="79">
        <v>3</v>
      </c>
      <c r="W49" s="101">
        <f t="shared" si="173"/>
        <v>12.25</v>
      </c>
      <c r="X49" s="81"/>
      <c r="Y49" s="101">
        <f t="shared" si="174"/>
        <v>13.5</v>
      </c>
      <c r="Z49" s="81"/>
      <c r="AA49" s="101">
        <f t="shared" si="175"/>
        <v>14.75</v>
      </c>
      <c r="AB49" s="104"/>
      <c r="AC49" s="101">
        <f t="shared" si="176"/>
        <v>16</v>
      </c>
      <c r="AD49" s="103" t="s">
        <v>143</v>
      </c>
      <c r="AE49" s="103">
        <f>AC49</f>
        <v>16</v>
      </c>
    </row>
    <row r="50" spans="1:31" x14ac:dyDescent="0.25">
      <c r="A50" s="298"/>
      <c r="B50" s="299"/>
      <c r="C50" s="63" t="s">
        <v>8</v>
      </c>
      <c r="D50" s="96">
        <f>'2023 ACCRUAL'!AE50</f>
        <v>3.333333333333333</v>
      </c>
      <c r="E50" s="64">
        <v>5</v>
      </c>
      <c r="F50" s="75"/>
      <c r="G50" s="68">
        <f>$E50/12-F50+D50</f>
        <v>3.7499999999999996</v>
      </c>
      <c r="H50" s="79">
        <v>1</v>
      </c>
      <c r="I50" s="70">
        <f>$E50/12+G50-H50</f>
        <v>3.1666666666666661</v>
      </c>
      <c r="J50" s="79"/>
      <c r="K50" s="70">
        <f t="shared" si="167"/>
        <v>3.5833333333333326</v>
      </c>
      <c r="L50" s="79"/>
      <c r="M50" s="70">
        <f t="shared" si="168"/>
        <v>3.9999999999999991</v>
      </c>
      <c r="N50" s="79">
        <v>3</v>
      </c>
      <c r="O50" s="70">
        <f t="shared" si="169"/>
        <v>1.4166666666666661</v>
      </c>
      <c r="P50" s="79"/>
      <c r="Q50" s="70">
        <f t="shared" si="170"/>
        <v>1.8333333333333328</v>
      </c>
      <c r="R50" s="79"/>
      <c r="S50" s="70">
        <f t="shared" si="171"/>
        <v>2.2499999999999996</v>
      </c>
      <c r="T50" s="79"/>
      <c r="U50" s="70">
        <f t="shared" si="172"/>
        <v>2.6666666666666661</v>
      </c>
      <c r="V50" s="79"/>
      <c r="W50" s="104">
        <f t="shared" si="173"/>
        <v>3.0833333333333326</v>
      </c>
      <c r="X50" s="81"/>
      <c r="Y50" s="104">
        <f t="shared" si="174"/>
        <v>3.4999999999999991</v>
      </c>
      <c r="Z50" s="81"/>
      <c r="AA50" s="104">
        <f t="shared" si="175"/>
        <v>3.9166666666666656</v>
      </c>
      <c r="AB50" s="104"/>
      <c r="AC50" s="104">
        <f t="shared" si="176"/>
        <v>4.3333333333333321</v>
      </c>
      <c r="AD50" s="103" t="s">
        <v>144</v>
      </c>
      <c r="AE50" s="105">
        <f t="shared" ref="AE50" si="178">AC50</f>
        <v>4.3333333333333321</v>
      </c>
    </row>
    <row r="51" spans="1:31" x14ac:dyDescent="0.25">
      <c r="A51" s="294" t="s">
        <v>160</v>
      </c>
      <c r="B51" s="295"/>
      <c r="C51" s="63"/>
      <c r="D51" s="66"/>
      <c r="E51" s="66"/>
      <c r="F51" s="74"/>
      <c r="G51" s="68"/>
      <c r="H51" s="78"/>
      <c r="I51" s="68"/>
      <c r="J51" s="78"/>
      <c r="K51" s="68"/>
      <c r="L51" s="78"/>
      <c r="M51" s="68"/>
      <c r="N51" s="78"/>
      <c r="O51" s="68"/>
      <c r="P51" s="78"/>
      <c r="Q51" s="68"/>
      <c r="R51" s="78"/>
      <c r="S51" s="68"/>
      <c r="T51" s="78"/>
      <c r="U51" s="68"/>
      <c r="V51" s="78"/>
      <c r="W51" s="101"/>
      <c r="X51" s="102"/>
      <c r="Y51" s="101"/>
      <c r="Z51" s="102"/>
      <c r="AA51" s="101"/>
      <c r="AB51" s="101"/>
      <c r="AC51" s="101"/>
      <c r="AD51" s="103"/>
      <c r="AE51" s="103"/>
    </row>
    <row r="52" spans="1:31" x14ac:dyDescent="0.25">
      <c r="A52" s="296"/>
      <c r="B52" s="297"/>
      <c r="C52" s="65" t="s">
        <v>9</v>
      </c>
      <c r="D52" s="66">
        <f>'2023 ACCRUAL'!AE52</f>
        <v>7</v>
      </c>
      <c r="E52" s="66">
        <v>15</v>
      </c>
      <c r="F52" s="74">
        <v>1</v>
      </c>
      <c r="G52" s="68">
        <f>$E52/12-F52+D52</f>
        <v>7.25</v>
      </c>
      <c r="H52" s="78"/>
      <c r="I52" s="68">
        <f t="shared" ref="I52" si="179">$E52/12+G52-H52</f>
        <v>8.5</v>
      </c>
      <c r="J52" s="78">
        <v>0.5</v>
      </c>
      <c r="K52" s="68">
        <f t="shared" ref="K52:K53" si="180">$E52/12+I52-J52</f>
        <v>9.25</v>
      </c>
      <c r="L52" s="78"/>
      <c r="M52" s="68">
        <f t="shared" ref="M52:M53" si="181">$E52/12+K52-L52</f>
        <v>10.5</v>
      </c>
      <c r="N52" s="78"/>
      <c r="O52" s="68">
        <f t="shared" ref="O52:O53" si="182">$E52/12+M52-N52</f>
        <v>11.75</v>
      </c>
      <c r="P52" s="78">
        <v>0.5</v>
      </c>
      <c r="Q52" s="68">
        <f t="shared" ref="Q52:Q53" si="183">$E52/12+O52-P52</f>
        <v>12.5</v>
      </c>
      <c r="R52" s="78"/>
      <c r="S52" s="68">
        <f t="shared" ref="S52:S53" si="184">$E52/12+Q52-R52</f>
        <v>13.75</v>
      </c>
      <c r="T52" s="78"/>
      <c r="U52" s="68">
        <f t="shared" ref="U52:U53" si="185">$E52/12+S52-T52</f>
        <v>15</v>
      </c>
      <c r="V52" s="78">
        <v>2</v>
      </c>
      <c r="W52" s="101">
        <f t="shared" ref="W52:W53" si="186">$E52/12+U52-V52</f>
        <v>14.25</v>
      </c>
      <c r="X52" s="102"/>
      <c r="Y52" s="101">
        <f t="shared" ref="Y52:Y53" si="187">$E52/12+W52-X52</f>
        <v>15.5</v>
      </c>
      <c r="Z52" s="102"/>
      <c r="AA52" s="101">
        <f t="shared" ref="AA52:AA53" si="188">$E52/12+Y52-Z52</f>
        <v>16.75</v>
      </c>
      <c r="AB52" s="101"/>
      <c r="AC52" s="101">
        <f t="shared" ref="AC52:AC53" si="189">$E52/12+AA52-AB52</f>
        <v>18</v>
      </c>
      <c r="AD52" s="103" t="s">
        <v>143</v>
      </c>
      <c r="AE52" s="103">
        <f>AC52</f>
        <v>18</v>
      </c>
    </row>
    <row r="53" spans="1:31" x14ac:dyDescent="0.25">
      <c r="A53" s="298"/>
      <c r="B53" s="299"/>
      <c r="C53" s="63" t="s">
        <v>8</v>
      </c>
      <c r="D53" s="96">
        <f>'2023 ACCRUAL'!AE53</f>
        <v>3.333333333333333</v>
      </c>
      <c r="E53" s="64">
        <v>5</v>
      </c>
      <c r="F53" s="75"/>
      <c r="G53" s="68">
        <f>$E53/12-F53+D53</f>
        <v>3.7499999999999996</v>
      </c>
      <c r="H53" s="79">
        <v>1</v>
      </c>
      <c r="I53" s="70">
        <f>$E53/12+G53-H53</f>
        <v>3.1666666666666661</v>
      </c>
      <c r="J53" s="79"/>
      <c r="K53" s="70">
        <f t="shared" si="180"/>
        <v>3.5833333333333326</v>
      </c>
      <c r="L53" s="79"/>
      <c r="M53" s="70">
        <f t="shared" si="181"/>
        <v>3.9999999999999991</v>
      </c>
      <c r="N53" s="79">
        <v>1</v>
      </c>
      <c r="O53" s="70">
        <f t="shared" si="182"/>
        <v>3.4166666666666661</v>
      </c>
      <c r="P53" s="79"/>
      <c r="Q53" s="70">
        <f t="shared" si="183"/>
        <v>3.8333333333333326</v>
      </c>
      <c r="R53" s="79"/>
      <c r="S53" s="70">
        <f t="shared" si="184"/>
        <v>4.2499999999999991</v>
      </c>
      <c r="T53" s="79">
        <v>3</v>
      </c>
      <c r="U53" s="70">
        <f t="shared" si="185"/>
        <v>1.6666666666666661</v>
      </c>
      <c r="V53" s="79"/>
      <c r="W53" s="104">
        <f t="shared" si="186"/>
        <v>2.0833333333333326</v>
      </c>
      <c r="X53" s="81"/>
      <c r="Y53" s="104">
        <f t="shared" si="187"/>
        <v>2.4999999999999991</v>
      </c>
      <c r="Z53" s="81"/>
      <c r="AA53" s="104">
        <f t="shared" si="188"/>
        <v>2.9166666666666656</v>
      </c>
      <c r="AB53" s="104"/>
      <c r="AC53" s="104">
        <f t="shared" si="189"/>
        <v>3.3333333333333321</v>
      </c>
      <c r="AD53" s="103" t="s">
        <v>144</v>
      </c>
      <c r="AE53" s="105">
        <f t="shared" ref="AE53" si="190">AC53</f>
        <v>3.3333333333333321</v>
      </c>
    </row>
    <row r="54" spans="1:31" x14ac:dyDescent="0.25">
      <c r="A54" s="294" t="s">
        <v>161</v>
      </c>
      <c r="B54" s="295"/>
      <c r="C54" s="63"/>
      <c r="D54" s="66"/>
      <c r="E54" s="66"/>
      <c r="F54" s="74"/>
      <c r="G54" s="68"/>
      <c r="H54" s="78"/>
      <c r="I54" s="68"/>
      <c r="J54" s="78"/>
      <c r="K54" s="68"/>
      <c r="L54" s="78"/>
      <c r="M54" s="68"/>
      <c r="N54" s="78"/>
      <c r="O54" s="68"/>
      <c r="P54" s="78"/>
      <c r="Q54" s="68"/>
      <c r="R54" s="78"/>
      <c r="S54" s="68"/>
      <c r="T54" s="78"/>
      <c r="U54" s="68"/>
      <c r="V54" s="78"/>
      <c r="W54" s="101"/>
      <c r="X54" s="102"/>
      <c r="Y54" s="101"/>
      <c r="Z54" s="102"/>
      <c r="AA54" s="101"/>
      <c r="AB54" s="101"/>
      <c r="AC54" s="101"/>
      <c r="AD54" s="103"/>
      <c r="AE54" s="103"/>
    </row>
    <row r="55" spans="1:31" x14ac:dyDescent="0.25">
      <c r="A55" s="296"/>
      <c r="B55" s="297"/>
      <c r="C55" s="65" t="s">
        <v>9</v>
      </c>
      <c r="D55" s="66">
        <f>'2023 ACCRUAL'!AE56</f>
        <v>7.5</v>
      </c>
      <c r="E55" s="66">
        <v>15</v>
      </c>
      <c r="F55" s="74">
        <v>3</v>
      </c>
      <c r="G55" s="68">
        <f>$E55/12-F55+D55</f>
        <v>5.75</v>
      </c>
      <c r="H55" s="78">
        <v>1</v>
      </c>
      <c r="I55" s="68">
        <f t="shared" ref="I55" si="191">$E55/12+G55-H55</f>
        <v>6</v>
      </c>
      <c r="J55" s="78"/>
      <c r="K55" s="68">
        <f t="shared" ref="K55:K56" si="192">$E55/12+I55-J55</f>
        <v>7.25</v>
      </c>
      <c r="L55" s="78">
        <v>2</v>
      </c>
      <c r="M55" s="68">
        <f t="shared" ref="M55:M56" si="193">$E55/12+K55-L55</f>
        <v>6.5</v>
      </c>
      <c r="N55" s="78">
        <v>3</v>
      </c>
      <c r="O55" s="68">
        <f>$E55/12+M55-N55</f>
        <v>4.75</v>
      </c>
      <c r="P55" s="78">
        <v>6</v>
      </c>
      <c r="Q55" s="68">
        <f t="shared" ref="Q55:Q56" si="194">$E55/12+O55-P55</f>
        <v>0</v>
      </c>
      <c r="R55" s="78"/>
      <c r="S55" s="68">
        <f t="shared" ref="S55:S56" si="195">$E55/12+Q55-R55</f>
        <v>1.25</v>
      </c>
      <c r="T55" s="78"/>
      <c r="U55" s="68">
        <f t="shared" ref="U55:U56" si="196">$E55/12+S55-T55</f>
        <v>2.5</v>
      </c>
      <c r="V55" s="78">
        <v>2</v>
      </c>
      <c r="W55" s="101">
        <f t="shared" ref="W55:W56" si="197">$E55/12+U55-V55</f>
        <v>1.75</v>
      </c>
      <c r="X55" s="102"/>
      <c r="Y55" s="101">
        <f t="shared" ref="Y55:Y56" si="198">$E55/12+W55-X55</f>
        <v>3</v>
      </c>
      <c r="Z55" s="102"/>
      <c r="AA55" s="101">
        <f t="shared" ref="AA55:AA56" si="199">$E55/12+Y55-Z55</f>
        <v>4.25</v>
      </c>
      <c r="AB55" s="101"/>
      <c r="AC55" s="101">
        <f t="shared" ref="AC55:AC56" si="200">$E55/12+AA55-AB55</f>
        <v>5.5</v>
      </c>
      <c r="AD55" s="103" t="s">
        <v>143</v>
      </c>
      <c r="AE55" s="103">
        <f>AC55</f>
        <v>5.5</v>
      </c>
    </row>
    <row r="56" spans="1:31" x14ac:dyDescent="0.25">
      <c r="A56" s="298"/>
      <c r="B56" s="299"/>
      <c r="C56" s="63" t="s">
        <v>8</v>
      </c>
      <c r="D56" s="66">
        <f>'2023 ACCRUAL'!AE57</f>
        <v>2.5</v>
      </c>
      <c r="E56" s="64">
        <v>5</v>
      </c>
      <c r="F56" s="75"/>
      <c r="G56" s="68">
        <f>$E56/12-F56+D56</f>
        <v>2.9166666666666665</v>
      </c>
      <c r="H56" s="79">
        <v>1</v>
      </c>
      <c r="I56" s="70">
        <f>$E56/12+G56-H56</f>
        <v>2.333333333333333</v>
      </c>
      <c r="J56" s="79">
        <v>1</v>
      </c>
      <c r="K56" s="70">
        <f t="shared" si="192"/>
        <v>1.7499999999999996</v>
      </c>
      <c r="L56" s="79"/>
      <c r="M56" s="70">
        <f t="shared" si="193"/>
        <v>2.1666666666666661</v>
      </c>
      <c r="N56" s="79">
        <v>3</v>
      </c>
      <c r="O56" s="86">
        <f t="shared" ref="O56" si="201">$E56/12+M56-N56</f>
        <v>-0.41666666666666741</v>
      </c>
      <c r="P56" s="80"/>
      <c r="Q56" s="86">
        <f t="shared" si="194"/>
        <v>-7.2164496600635175E-16</v>
      </c>
      <c r="R56" s="79"/>
      <c r="S56" s="86">
        <f t="shared" si="195"/>
        <v>0.41666666666666596</v>
      </c>
      <c r="T56" s="80">
        <v>1</v>
      </c>
      <c r="U56" s="86">
        <f t="shared" si="196"/>
        <v>-0.16666666666666741</v>
      </c>
      <c r="V56" s="79"/>
      <c r="W56" s="104">
        <f t="shared" si="197"/>
        <v>0.24999999999999928</v>
      </c>
      <c r="X56" s="81"/>
      <c r="Y56" s="104">
        <f t="shared" si="198"/>
        <v>0.66666666666666596</v>
      </c>
      <c r="Z56" s="81"/>
      <c r="AA56" s="104">
        <f t="shared" si="199"/>
        <v>1.0833333333333326</v>
      </c>
      <c r="AB56" s="104"/>
      <c r="AC56" s="104">
        <f t="shared" si="200"/>
        <v>1.4999999999999993</v>
      </c>
      <c r="AD56" s="103" t="s">
        <v>144</v>
      </c>
      <c r="AE56" s="105">
        <f t="shared" ref="AE56" si="202">AC56</f>
        <v>1.4999999999999993</v>
      </c>
    </row>
    <row r="57" spans="1:31" x14ac:dyDescent="0.25">
      <c r="A57" s="294" t="s">
        <v>162</v>
      </c>
      <c r="B57" s="295"/>
      <c r="C57" s="63"/>
      <c r="D57" s="66"/>
      <c r="E57" s="66"/>
      <c r="F57" s="74"/>
      <c r="G57" s="68"/>
      <c r="H57" s="78"/>
      <c r="I57" s="68"/>
      <c r="J57" s="78"/>
      <c r="K57" s="68"/>
      <c r="L57" s="78"/>
      <c r="M57" s="68"/>
      <c r="N57" s="78"/>
      <c r="O57" s="68"/>
      <c r="P57" s="78"/>
      <c r="Q57" s="68"/>
      <c r="R57" s="78"/>
      <c r="S57" s="68"/>
      <c r="T57" s="78"/>
      <c r="U57" s="68"/>
      <c r="V57" s="78"/>
      <c r="W57" s="101"/>
      <c r="X57" s="102"/>
      <c r="Y57" s="101"/>
      <c r="Z57" s="102"/>
      <c r="AA57" s="101"/>
      <c r="AB57" s="101"/>
      <c r="AC57" s="101"/>
      <c r="AD57" s="103"/>
      <c r="AE57" s="103"/>
    </row>
    <row r="58" spans="1:31" x14ac:dyDescent="0.25">
      <c r="A58" s="296"/>
      <c r="B58" s="297"/>
      <c r="C58" s="65" t="s">
        <v>9</v>
      </c>
      <c r="D58" s="66">
        <f>'2023 ACCRUAL'!AE59</f>
        <v>7.5</v>
      </c>
      <c r="E58" s="66">
        <v>15</v>
      </c>
      <c r="F58" s="74">
        <v>1</v>
      </c>
      <c r="G58" s="68">
        <f>$E58/12-F58+D58</f>
        <v>7.75</v>
      </c>
      <c r="H58" s="78">
        <v>1</v>
      </c>
      <c r="I58" s="68">
        <f t="shared" ref="I58" si="203">$E58/12+G58-H58</f>
        <v>8</v>
      </c>
      <c r="J58" s="78"/>
      <c r="K58" s="68">
        <f t="shared" ref="K58:K59" si="204">$E58/12+I58-J58</f>
        <v>9.25</v>
      </c>
      <c r="L58" s="78"/>
      <c r="M58" s="68">
        <f t="shared" ref="M58:M59" si="205">$E58/12+K58-L58</f>
        <v>10.5</v>
      </c>
      <c r="N58" s="78">
        <v>1</v>
      </c>
      <c r="O58" s="68">
        <f t="shared" ref="O58:O59" si="206">$E58/12+M58-N58</f>
        <v>10.75</v>
      </c>
      <c r="P58" s="78"/>
      <c r="Q58" s="68">
        <f t="shared" ref="Q58:Q59" si="207">$E58/12+O58-P58</f>
        <v>12</v>
      </c>
      <c r="R58" s="78">
        <v>3</v>
      </c>
      <c r="S58" s="68">
        <f t="shared" ref="S58:S59" si="208">$E58/12+Q58-R58</f>
        <v>10.25</v>
      </c>
      <c r="T58" s="78"/>
      <c r="U58" s="68">
        <f t="shared" ref="U58:U59" si="209">$E58/12+S58-T58</f>
        <v>11.5</v>
      </c>
      <c r="V58" s="78">
        <v>2</v>
      </c>
      <c r="W58" s="101">
        <f t="shared" ref="W58:W59" si="210">$E58/12+U58-V58</f>
        <v>10.75</v>
      </c>
      <c r="X58" s="102"/>
      <c r="Y58" s="101">
        <f t="shared" ref="Y58:Y59" si="211">$E58/12+W58-X58</f>
        <v>12</v>
      </c>
      <c r="Z58" s="102"/>
      <c r="AA58" s="101">
        <f t="shared" ref="AA58:AA59" si="212">$E58/12+Y58-Z58</f>
        <v>13.25</v>
      </c>
      <c r="AB58" s="101"/>
      <c r="AC58" s="101">
        <f t="shared" ref="AC58:AC59" si="213">$E58/12+AA58-AB58</f>
        <v>14.5</v>
      </c>
      <c r="AD58" s="103" t="s">
        <v>143</v>
      </c>
      <c r="AE58" s="103">
        <f>AC58</f>
        <v>14.5</v>
      </c>
    </row>
    <row r="59" spans="1:31" x14ac:dyDescent="0.25">
      <c r="A59" s="298"/>
      <c r="B59" s="299"/>
      <c r="C59" s="63" t="s">
        <v>8</v>
      </c>
      <c r="D59" s="66">
        <f>'2023 ACCRUAL'!AE60</f>
        <v>2.5</v>
      </c>
      <c r="E59" s="64">
        <v>5</v>
      </c>
      <c r="F59" s="75"/>
      <c r="G59" s="68">
        <f>$E59/12-F59+D59</f>
        <v>2.9166666666666665</v>
      </c>
      <c r="H59" s="79">
        <v>2</v>
      </c>
      <c r="I59" s="70">
        <f>$E59/12+G59-H59</f>
        <v>1.333333333333333</v>
      </c>
      <c r="J59" s="79"/>
      <c r="K59" s="70">
        <f t="shared" si="204"/>
        <v>1.7499999999999998</v>
      </c>
      <c r="L59" s="79"/>
      <c r="M59" s="70">
        <f t="shared" si="205"/>
        <v>2.1666666666666665</v>
      </c>
      <c r="N59" s="79"/>
      <c r="O59" s="70">
        <f t="shared" si="206"/>
        <v>2.583333333333333</v>
      </c>
      <c r="P59" s="79"/>
      <c r="Q59" s="70">
        <f t="shared" si="207"/>
        <v>2.9999999999999996</v>
      </c>
      <c r="R59" s="79"/>
      <c r="S59" s="70">
        <f t="shared" si="208"/>
        <v>3.4166666666666661</v>
      </c>
      <c r="T59" s="79">
        <v>1</v>
      </c>
      <c r="U59" s="70">
        <f t="shared" si="209"/>
        <v>2.8333333333333326</v>
      </c>
      <c r="V59" s="79"/>
      <c r="W59" s="104">
        <f t="shared" si="210"/>
        <v>3.2499999999999991</v>
      </c>
      <c r="X59" s="81"/>
      <c r="Y59" s="104">
        <f t="shared" si="211"/>
        <v>3.6666666666666656</v>
      </c>
      <c r="Z59" s="81"/>
      <c r="AA59" s="104">
        <f t="shared" si="212"/>
        <v>4.0833333333333321</v>
      </c>
      <c r="AB59" s="104"/>
      <c r="AC59" s="104">
        <f t="shared" si="213"/>
        <v>4.4999999999999991</v>
      </c>
      <c r="AD59" s="103" t="s">
        <v>144</v>
      </c>
      <c r="AE59" s="105">
        <f t="shared" ref="AE59" si="214">AC59</f>
        <v>4.4999999999999991</v>
      </c>
    </row>
    <row r="60" spans="1:31" x14ac:dyDescent="0.25">
      <c r="A60" s="294" t="s">
        <v>163</v>
      </c>
      <c r="B60" s="295"/>
      <c r="C60" s="63"/>
      <c r="D60" s="66"/>
      <c r="E60" s="66"/>
      <c r="F60" s="74"/>
      <c r="G60" s="68"/>
      <c r="H60" s="78"/>
      <c r="I60" s="68"/>
      <c r="J60" s="78"/>
      <c r="K60" s="68"/>
      <c r="L60" s="78"/>
      <c r="M60" s="68"/>
      <c r="N60" s="78"/>
      <c r="O60" s="68"/>
      <c r="P60" s="78"/>
      <c r="Q60" s="68"/>
      <c r="R60" s="78"/>
      <c r="S60" s="68"/>
      <c r="T60" s="78"/>
      <c r="U60" s="68"/>
      <c r="V60" s="78"/>
      <c r="W60" s="101"/>
      <c r="X60" s="102"/>
      <c r="Y60" s="101"/>
      <c r="Z60" s="102"/>
      <c r="AA60" s="101"/>
      <c r="AB60" s="101"/>
      <c r="AC60" s="101"/>
      <c r="AD60" s="103"/>
      <c r="AE60" s="103"/>
    </row>
    <row r="61" spans="1:31" x14ac:dyDescent="0.25">
      <c r="A61" s="296"/>
      <c r="B61" s="297"/>
      <c r="C61" s="65" t="s">
        <v>9</v>
      </c>
      <c r="D61" s="66">
        <f>'2023 ACCRUAL'!AE62</f>
        <v>7.5</v>
      </c>
      <c r="E61" s="66">
        <v>15</v>
      </c>
      <c r="F61" s="74">
        <v>3</v>
      </c>
      <c r="G61" s="68">
        <f>$E61/12-F61+D61</f>
        <v>5.75</v>
      </c>
      <c r="H61" s="78"/>
      <c r="I61" s="68">
        <f t="shared" ref="I61" si="215">$E61/12+G61-H61</f>
        <v>7</v>
      </c>
      <c r="J61" s="78"/>
      <c r="K61" s="68">
        <f t="shared" ref="K61:K62" si="216">$E61/12+I61-J61</f>
        <v>8.25</v>
      </c>
      <c r="L61" s="78"/>
      <c r="M61" s="68">
        <f t="shared" ref="M61:M62" si="217">$E61/12+K61-L61</f>
        <v>9.5</v>
      </c>
      <c r="N61" s="78"/>
      <c r="O61" s="68">
        <f t="shared" ref="O61:O62" si="218">$E61/12+M61-N61</f>
        <v>10.75</v>
      </c>
      <c r="P61" s="78"/>
      <c r="Q61" s="68">
        <f t="shared" ref="Q61:Q62" si="219">$E61/12+O61-P61</f>
        <v>12</v>
      </c>
      <c r="R61" s="78"/>
      <c r="S61" s="68">
        <f t="shared" ref="S61:S62" si="220">$E61/12+Q61-R61</f>
        <v>13.25</v>
      </c>
      <c r="T61" s="78"/>
      <c r="U61" s="68">
        <f t="shared" ref="U61:U62" si="221">$E61/12+S61-T61</f>
        <v>14.5</v>
      </c>
      <c r="V61" s="78">
        <v>8</v>
      </c>
      <c r="W61" s="101">
        <f t="shared" ref="W61:W62" si="222">$E61/12+U61-V61</f>
        <v>7.75</v>
      </c>
      <c r="X61" s="102"/>
      <c r="Y61" s="101">
        <f t="shared" ref="Y61:Y62" si="223">$E61/12+W61-X61</f>
        <v>9</v>
      </c>
      <c r="Z61" s="102"/>
      <c r="AA61" s="101">
        <f t="shared" ref="AA61:AA62" si="224">$E61/12+Y61-Z61</f>
        <v>10.25</v>
      </c>
      <c r="AB61" s="101"/>
      <c r="AC61" s="101">
        <f t="shared" ref="AC61:AC62" si="225">$E61/12+AA61-AB61</f>
        <v>11.5</v>
      </c>
      <c r="AD61" s="103" t="s">
        <v>143</v>
      </c>
      <c r="AE61" s="103">
        <f>AC61</f>
        <v>11.5</v>
      </c>
    </row>
    <row r="62" spans="1:31" x14ac:dyDescent="0.25">
      <c r="A62" s="298"/>
      <c r="B62" s="299"/>
      <c r="C62" s="63" t="s">
        <v>8</v>
      </c>
      <c r="D62" s="66">
        <f>'2023 ACCRUAL'!AE63</f>
        <v>2.5</v>
      </c>
      <c r="E62" s="64">
        <v>5</v>
      </c>
      <c r="F62" s="75"/>
      <c r="G62" s="68">
        <f>$E62/12-F62+D62</f>
        <v>2.9166666666666665</v>
      </c>
      <c r="H62" s="79"/>
      <c r="I62" s="70">
        <f>$E62/12+G62-H62</f>
        <v>3.333333333333333</v>
      </c>
      <c r="J62" s="79"/>
      <c r="K62" s="70">
        <f t="shared" si="216"/>
        <v>3.7499999999999996</v>
      </c>
      <c r="L62" s="79">
        <v>1</v>
      </c>
      <c r="M62" s="70">
        <f t="shared" si="217"/>
        <v>3.1666666666666661</v>
      </c>
      <c r="N62" s="79"/>
      <c r="O62" s="70">
        <f t="shared" si="218"/>
        <v>3.5833333333333326</v>
      </c>
      <c r="P62" s="79"/>
      <c r="Q62" s="70">
        <f t="shared" si="219"/>
        <v>3.9999999999999991</v>
      </c>
      <c r="R62" s="78">
        <v>1</v>
      </c>
      <c r="S62" s="70">
        <f t="shared" si="220"/>
        <v>3.4166666666666661</v>
      </c>
      <c r="T62" s="79"/>
      <c r="U62" s="70">
        <f t="shared" si="221"/>
        <v>3.8333333333333326</v>
      </c>
      <c r="V62" s="79">
        <v>1</v>
      </c>
      <c r="W62" s="104">
        <f t="shared" si="222"/>
        <v>3.2499999999999991</v>
      </c>
      <c r="X62" s="81"/>
      <c r="Y62" s="104">
        <f t="shared" si="223"/>
        <v>3.6666666666666656</v>
      </c>
      <c r="Z62" s="81"/>
      <c r="AA62" s="104">
        <f t="shared" si="224"/>
        <v>4.0833333333333321</v>
      </c>
      <c r="AB62" s="104"/>
      <c r="AC62" s="104">
        <f t="shared" si="225"/>
        <v>4.4999999999999991</v>
      </c>
      <c r="AD62" s="103" t="s">
        <v>144</v>
      </c>
      <c r="AE62" s="105">
        <f t="shared" ref="AE62" si="226">AC62</f>
        <v>4.4999999999999991</v>
      </c>
    </row>
    <row r="63" spans="1:31" x14ac:dyDescent="0.25">
      <c r="A63" s="294" t="s">
        <v>165</v>
      </c>
      <c r="B63" s="295"/>
      <c r="C63" s="63"/>
      <c r="D63" s="66"/>
      <c r="E63" s="66"/>
      <c r="F63" s="74"/>
      <c r="G63" s="68"/>
      <c r="H63" s="78"/>
      <c r="I63" s="68"/>
      <c r="J63" s="78"/>
      <c r="K63" s="68"/>
      <c r="L63" s="78"/>
      <c r="M63" s="68"/>
      <c r="N63" s="78"/>
      <c r="O63" s="68"/>
      <c r="P63" s="78"/>
      <c r="Q63" s="68"/>
      <c r="R63" s="78"/>
      <c r="S63" s="68"/>
      <c r="T63" s="78"/>
      <c r="U63" s="68"/>
      <c r="V63" s="78"/>
      <c r="W63" s="101"/>
      <c r="X63" s="102"/>
      <c r="Y63" s="101"/>
      <c r="Z63" s="102"/>
      <c r="AA63" s="101"/>
      <c r="AB63" s="101"/>
      <c r="AC63" s="101"/>
      <c r="AD63" s="103"/>
      <c r="AE63" s="103"/>
    </row>
    <row r="64" spans="1:31" x14ac:dyDescent="0.25">
      <c r="A64" s="296"/>
      <c r="B64" s="297"/>
      <c r="C64" s="65" t="s">
        <v>9</v>
      </c>
      <c r="D64" s="66">
        <f>'2023 ACCRUAL'!AE68</f>
        <v>6.25</v>
      </c>
      <c r="E64" s="66">
        <v>15</v>
      </c>
      <c r="F64" s="74"/>
      <c r="G64" s="68">
        <f>$E64/12-F64+D64</f>
        <v>7.5</v>
      </c>
      <c r="H64" s="78">
        <v>1</v>
      </c>
      <c r="I64" s="68">
        <f t="shared" ref="I64" si="227">$E64/12+G64-H64</f>
        <v>7.75</v>
      </c>
      <c r="J64" s="78"/>
      <c r="K64" s="68">
        <f t="shared" ref="K64:K65" si="228">$E64/12+I64-J64</f>
        <v>9</v>
      </c>
      <c r="L64" s="78"/>
      <c r="M64" s="68">
        <f t="shared" ref="M64:M65" si="229">$E64/12+K64-L64</f>
        <v>10.25</v>
      </c>
      <c r="N64" s="78"/>
      <c r="O64" s="68">
        <f t="shared" ref="O64:O65" si="230">$E64/12+M64-N64</f>
        <v>11.5</v>
      </c>
      <c r="P64" s="78"/>
      <c r="Q64" s="68">
        <f t="shared" ref="Q64:Q65" si="231">$E64/12+O64-P64</f>
        <v>12.75</v>
      </c>
      <c r="R64" s="78"/>
      <c r="S64" s="68">
        <f t="shared" ref="S64:S65" si="232">$E64/12+Q64-R64</f>
        <v>14</v>
      </c>
      <c r="T64" s="78"/>
      <c r="U64" s="68">
        <f t="shared" ref="U64:U65" si="233">$E64/12+S64-T64</f>
        <v>15.25</v>
      </c>
      <c r="V64" s="78">
        <v>1</v>
      </c>
      <c r="W64" s="101">
        <f t="shared" ref="W64:W65" si="234">$E64/12+U64-V64</f>
        <v>15.5</v>
      </c>
      <c r="X64" s="102"/>
      <c r="Y64" s="101">
        <f t="shared" ref="Y64:Y65" si="235">$E64/12+W64-X64</f>
        <v>16.75</v>
      </c>
      <c r="Z64" s="102"/>
      <c r="AA64" s="101">
        <f t="shared" ref="AA64:AA65" si="236">$E64/12+Y64-Z64</f>
        <v>18</v>
      </c>
      <c r="AB64" s="101"/>
      <c r="AC64" s="101">
        <f t="shared" ref="AC64:AC65" si="237">$E64/12+AA64-AB64</f>
        <v>19.25</v>
      </c>
      <c r="AD64" s="103" t="s">
        <v>143</v>
      </c>
      <c r="AE64" s="103">
        <f>AC64</f>
        <v>19.25</v>
      </c>
    </row>
    <row r="65" spans="1:31" x14ac:dyDescent="0.25">
      <c r="A65" s="298"/>
      <c r="B65" s="299"/>
      <c r="C65" s="63" t="s">
        <v>8</v>
      </c>
      <c r="D65" s="96">
        <f>'2023 ACCRUAL'!AE69</f>
        <v>2.0833333333333335</v>
      </c>
      <c r="E65" s="64">
        <v>5</v>
      </c>
      <c r="F65" s="75"/>
      <c r="G65" s="68">
        <f>$E65/12-F65+D65</f>
        <v>2.5</v>
      </c>
      <c r="H65" s="79"/>
      <c r="I65" s="70">
        <f>$E65/12+G65-H65</f>
        <v>2.9166666666666665</v>
      </c>
      <c r="J65" s="79"/>
      <c r="K65" s="70">
        <f t="shared" si="228"/>
        <v>3.333333333333333</v>
      </c>
      <c r="L65" s="79"/>
      <c r="M65" s="70">
        <f t="shared" si="229"/>
        <v>3.7499999999999996</v>
      </c>
      <c r="N65" s="79"/>
      <c r="O65" s="70">
        <f t="shared" si="230"/>
        <v>4.1666666666666661</v>
      </c>
      <c r="P65" s="79"/>
      <c r="Q65" s="70">
        <f t="shared" si="231"/>
        <v>4.583333333333333</v>
      </c>
      <c r="R65" s="79"/>
      <c r="S65" s="70">
        <f t="shared" si="232"/>
        <v>5</v>
      </c>
      <c r="T65" s="79">
        <v>1</v>
      </c>
      <c r="U65" s="70">
        <f t="shared" si="233"/>
        <v>4.416666666666667</v>
      </c>
      <c r="V65" s="79"/>
      <c r="W65" s="104">
        <f t="shared" si="234"/>
        <v>4.8333333333333339</v>
      </c>
      <c r="X65" s="81"/>
      <c r="Y65" s="104">
        <f t="shared" si="235"/>
        <v>5.2500000000000009</v>
      </c>
      <c r="Z65" s="81"/>
      <c r="AA65" s="104">
        <f t="shared" si="236"/>
        <v>5.6666666666666679</v>
      </c>
      <c r="AB65" s="104"/>
      <c r="AC65" s="104">
        <f t="shared" si="237"/>
        <v>6.0833333333333348</v>
      </c>
      <c r="AD65" s="103" t="s">
        <v>144</v>
      </c>
      <c r="AE65" s="105">
        <f t="shared" ref="AE65" si="238">AC65</f>
        <v>6.0833333333333348</v>
      </c>
    </row>
    <row r="66" spans="1:31" x14ac:dyDescent="0.25">
      <c r="A66" s="294" t="s">
        <v>166</v>
      </c>
      <c r="B66" s="295"/>
      <c r="C66" s="63"/>
      <c r="D66" s="66"/>
      <c r="E66" s="66"/>
      <c r="F66" s="74"/>
      <c r="G66" s="68"/>
      <c r="H66" s="78"/>
      <c r="I66" s="68"/>
      <c r="J66" s="78"/>
      <c r="K66" s="68"/>
      <c r="L66" s="78"/>
      <c r="M66" s="68"/>
      <c r="N66" s="78"/>
      <c r="O66" s="68"/>
      <c r="P66" s="78"/>
      <c r="Q66" s="68"/>
      <c r="R66" s="78"/>
      <c r="S66" s="68"/>
      <c r="T66" s="78"/>
      <c r="U66" s="68"/>
      <c r="V66" s="78"/>
      <c r="W66" s="101"/>
      <c r="X66" s="102"/>
      <c r="Y66" s="101"/>
      <c r="Z66" s="102"/>
      <c r="AA66" s="101"/>
      <c r="AB66" s="101"/>
      <c r="AC66" s="101"/>
      <c r="AD66" s="103"/>
      <c r="AE66" s="103"/>
    </row>
    <row r="67" spans="1:31" x14ac:dyDescent="0.25">
      <c r="A67" s="296"/>
      <c r="B67" s="297"/>
      <c r="C67" s="65" t="s">
        <v>9</v>
      </c>
      <c r="D67" s="66">
        <f>'2023 ACCRUAL'!AE71</f>
        <v>6.25</v>
      </c>
      <c r="E67" s="66">
        <v>15</v>
      </c>
      <c r="F67" s="74"/>
      <c r="G67" s="68">
        <f>$E67/12-F67+D67</f>
        <v>7.5</v>
      </c>
      <c r="H67" s="78"/>
      <c r="I67" s="68">
        <f t="shared" ref="I67" si="239">$E67/12+G67-H67</f>
        <v>8.75</v>
      </c>
      <c r="J67" s="78"/>
      <c r="K67" s="68">
        <f t="shared" ref="K67:K68" si="240">$E67/12+I67-J67</f>
        <v>10</v>
      </c>
      <c r="L67" s="78"/>
      <c r="M67" s="68">
        <f t="shared" ref="M67:M68" si="241">$E67/12+K67-L67</f>
        <v>11.25</v>
      </c>
      <c r="N67" s="78"/>
      <c r="O67" s="68">
        <f t="shared" ref="O67:O68" si="242">$E67/12+M67-N67</f>
        <v>12.5</v>
      </c>
      <c r="P67" s="78"/>
      <c r="Q67" s="68">
        <f t="shared" ref="Q67:Q68" si="243">$E67/12+O67-P67</f>
        <v>13.75</v>
      </c>
      <c r="R67" s="78"/>
      <c r="S67" s="68">
        <f t="shared" ref="S67:S68" si="244">$E67/12+Q67-R67</f>
        <v>15</v>
      </c>
      <c r="T67" s="78"/>
      <c r="U67" s="68">
        <f t="shared" ref="U67:U68" si="245">$E67/12+S67-T67</f>
        <v>16.25</v>
      </c>
      <c r="V67" s="78"/>
      <c r="W67" s="101">
        <f t="shared" ref="W67:W68" si="246">$E67/12+U67-V67</f>
        <v>17.5</v>
      </c>
      <c r="X67" s="102"/>
      <c r="Y67" s="101">
        <f t="shared" ref="Y67:Y68" si="247">$E67/12+W67-X67</f>
        <v>18.75</v>
      </c>
      <c r="Z67" s="102"/>
      <c r="AA67" s="101">
        <f t="shared" ref="AA67:AA68" si="248">$E67/12+Y67-Z67</f>
        <v>20</v>
      </c>
      <c r="AB67" s="101"/>
      <c r="AC67" s="101">
        <f t="shared" ref="AC67:AC68" si="249">$E67/12+AA67-AB67</f>
        <v>21.25</v>
      </c>
      <c r="AD67" s="103" t="s">
        <v>143</v>
      </c>
      <c r="AE67" s="103">
        <f>AC67</f>
        <v>21.25</v>
      </c>
    </row>
    <row r="68" spans="1:31" x14ac:dyDescent="0.25">
      <c r="A68" s="298"/>
      <c r="B68" s="299"/>
      <c r="C68" s="63" t="s">
        <v>8</v>
      </c>
      <c r="D68" s="96">
        <f>'2023 ACCRUAL'!AE72</f>
        <v>2.0833333333333335</v>
      </c>
      <c r="E68" s="64">
        <v>5</v>
      </c>
      <c r="F68" s="75"/>
      <c r="G68" s="68">
        <f>$E68/12-F68+D68</f>
        <v>2.5</v>
      </c>
      <c r="H68" s="79">
        <v>1</v>
      </c>
      <c r="I68" s="70">
        <f>$E68/12+G68-H68</f>
        <v>1.9166666666666665</v>
      </c>
      <c r="J68" s="79"/>
      <c r="K68" s="70">
        <f t="shared" si="240"/>
        <v>2.333333333333333</v>
      </c>
      <c r="L68" s="79">
        <v>1</v>
      </c>
      <c r="M68" s="70">
        <f t="shared" si="241"/>
        <v>1.7499999999999996</v>
      </c>
      <c r="N68" s="79"/>
      <c r="O68" s="70">
        <f t="shared" si="242"/>
        <v>2.1666666666666661</v>
      </c>
      <c r="P68" s="79">
        <v>1</v>
      </c>
      <c r="Q68" s="70">
        <f t="shared" si="243"/>
        <v>1.5833333333333326</v>
      </c>
      <c r="R68" s="79"/>
      <c r="S68" s="70">
        <f t="shared" si="244"/>
        <v>1.9999999999999993</v>
      </c>
      <c r="T68" s="79">
        <v>2</v>
      </c>
      <c r="U68" s="70">
        <f t="shared" si="245"/>
        <v>0.41666666666666607</v>
      </c>
      <c r="V68" s="79"/>
      <c r="W68" s="104">
        <f t="shared" si="246"/>
        <v>0.83333333333333282</v>
      </c>
      <c r="X68" s="81"/>
      <c r="Y68" s="104">
        <f t="shared" si="247"/>
        <v>1.2499999999999996</v>
      </c>
      <c r="Z68" s="81"/>
      <c r="AA68" s="104">
        <f t="shared" si="248"/>
        <v>1.6666666666666663</v>
      </c>
      <c r="AB68" s="104"/>
      <c r="AC68" s="104">
        <f t="shared" si="249"/>
        <v>2.083333333333333</v>
      </c>
      <c r="AD68" s="103" t="s">
        <v>144</v>
      </c>
      <c r="AE68" s="105">
        <f t="shared" ref="AE68" si="250">AC68</f>
        <v>2.083333333333333</v>
      </c>
    </row>
    <row r="69" spans="1:31" x14ac:dyDescent="0.25">
      <c r="A69" s="294" t="s">
        <v>167</v>
      </c>
      <c r="B69" s="295"/>
      <c r="C69" s="63"/>
      <c r="D69" s="66"/>
      <c r="E69" s="66"/>
      <c r="F69" s="74"/>
      <c r="G69" s="68"/>
      <c r="H69" s="78"/>
      <c r="I69" s="68"/>
      <c r="J69" s="78"/>
      <c r="K69" s="68"/>
      <c r="L69" s="78"/>
      <c r="M69" s="68"/>
      <c r="N69" s="78"/>
      <c r="O69" s="68"/>
      <c r="P69" s="78"/>
      <c r="Q69" s="68"/>
      <c r="R69" s="78"/>
      <c r="S69" s="68"/>
      <c r="T69" s="78"/>
      <c r="U69" s="68"/>
      <c r="V69" s="78"/>
      <c r="W69" s="101"/>
      <c r="X69" s="102"/>
      <c r="Y69" s="101"/>
      <c r="Z69" s="102"/>
      <c r="AA69" s="101"/>
      <c r="AB69" s="101"/>
      <c r="AC69" s="101"/>
      <c r="AD69" s="103"/>
      <c r="AE69" s="103"/>
    </row>
    <row r="70" spans="1:31" x14ac:dyDescent="0.25">
      <c r="A70" s="296"/>
      <c r="B70" s="297"/>
      <c r="C70" s="65" t="s">
        <v>9</v>
      </c>
      <c r="D70" s="66">
        <f>'2023 ACCRUAL'!AE74</f>
        <v>6.25</v>
      </c>
      <c r="E70" s="66">
        <v>15</v>
      </c>
      <c r="F70" s="74"/>
      <c r="G70" s="68">
        <f>$E70/12-F70+D70</f>
        <v>7.5</v>
      </c>
      <c r="H70" s="78"/>
      <c r="I70" s="68">
        <f t="shared" ref="I70" si="251">$E70/12+G70-H70</f>
        <v>8.75</v>
      </c>
      <c r="J70" s="78"/>
      <c r="K70" s="68">
        <f t="shared" ref="K70:K71" si="252">$E70/12+I70-J70</f>
        <v>10</v>
      </c>
      <c r="L70" s="78"/>
      <c r="M70" s="68">
        <f t="shared" ref="M70:M71" si="253">$E70/12+K70-L70</f>
        <v>11.25</v>
      </c>
      <c r="N70" s="78">
        <v>3</v>
      </c>
      <c r="O70" s="68">
        <f t="shared" ref="O70:O71" si="254">$E70/12+M70-N70</f>
        <v>9.5</v>
      </c>
      <c r="P70" s="78">
        <v>2</v>
      </c>
      <c r="Q70" s="68">
        <f t="shared" ref="Q70:Q71" si="255">$E70/12+O70-P70</f>
        <v>8.75</v>
      </c>
      <c r="R70" s="78"/>
      <c r="S70" s="68">
        <f t="shared" ref="S70:S71" si="256">$E70/12+Q70-R70</f>
        <v>10</v>
      </c>
      <c r="T70" s="78"/>
      <c r="U70" s="68">
        <f t="shared" ref="U70:U71" si="257">$E70/12+S70-T70</f>
        <v>11.25</v>
      </c>
      <c r="V70" s="78"/>
      <c r="W70" s="101">
        <f t="shared" ref="W70:W71" si="258">$E70/12+U70-V70</f>
        <v>12.5</v>
      </c>
      <c r="X70" s="102"/>
      <c r="Y70" s="101">
        <f t="shared" ref="Y70:Y71" si="259">$E70/12+W70-X70</f>
        <v>13.75</v>
      </c>
      <c r="Z70" s="102"/>
      <c r="AA70" s="101">
        <f t="shared" ref="AA70:AA71" si="260">$E70/12+Y70-Z70</f>
        <v>15</v>
      </c>
      <c r="AB70" s="101"/>
      <c r="AC70" s="101">
        <f t="shared" ref="AC70:AC71" si="261">$E70/12+AA70-AB70</f>
        <v>16.25</v>
      </c>
      <c r="AD70" s="103" t="s">
        <v>143</v>
      </c>
      <c r="AE70" s="103">
        <f>AC70</f>
        <v>16.25</v>
      </c>
    </row>
    <row r="71" spans="1:31" x14ac:dyDescent="0.25">
      <c r="A71" s="298"/>
      <c r="B71" s="299"/>
      <c r="C71" s="63" t="s">
        <v>8</v>
      </c>
      <c r="D71" s="96">
        <f>'2023 ACCRUAL'!AE75</f>
        <v>2.0833333333333335</v>
      </c>
      <c r="E71" s="64">
        <v>5</v>
      </c>
      <c r="F71" s="75"/>
      <c r="G71" s="68">
        <f>$E71/12-F71+D71</f>
        <v>2.5</v>
      </c>
      <c r="H71" s="79"/>
      <c r="I71" s="70">
        <f>$E71/12+G71-H71</f>
        <v>2.9166666666666665</v>
      </c>
      <c r="J71" s="79"/>
      <c r="K71" s="70">
        <f t="shared" si="252"/>
        <v>3.333333333333333</v>
      </c>
      <c r="L71" s="79"/>
      <c r="M71" s="70">
        <f t="shared" si="253"/>
        <v>3.7499999999999996</v>
      </c>
      <c r="N71" s="79"/>
      <c r="O71" s="70">
        <f t="shared" si="254"/>
        <v>4.1666666666666661</v>
      </c>
      <c r="P71" s="79"/>
      <c r="Q71" s="70">
        <f t="shared" si="255"/>
        <v>4.583333333333333</v>
      </c>
      <c r="R71" s="79"/>
      <c r="S71" s="70">
        <f t="shared" si="256"/>
        <v>5</v>
      </c>
      <c r="T71" s="79"/>
      <c r="U71" s="70">
        <f t="shared" si="257"/>
        <v>5.416666666666667</v>
      </c>
      <c r="V71" s="79"/>
      <c r="W71" s="104">
        <f t="shared" si="258"/>
        <v>5.8333333333333339</v>
      </c>
      <c r="X71" s="81"/>
      <c r="Y71" s="104">
        <f t="shared" si="259"/>
        <v>6.2500000000000009</v>
      </c>
      <c r="Z71" s="81"/>
      <c r="AA71" s="104">
        <f t="shared" si="260"/>
        <v>6.6666666666666679</v>
      </c>
      <c r="AB71" s="104"/>
      <c r="AC71" s="104">
        <f t="shared" si="261"/>
        <v>7.0833333333333348</v>
      </c>
      <c r="AD71" s="103" t="s">
        <v>144</v>
      </c>
      <c r="AE71" s="105">
        <f t="shared" ref="AE71" si="262">AC71</f>
        <v>7.0833333333333348</v>
      </c>
    </row>
    <row r="72" spans="1:31" x14ac:dyDescent="0.25">
      <c r="A72" s="294" t="s">
        <v>168</v>
      </c>
      <c r="B72" s="295"/>
      <c r="C72" s="63"/>
      <c r="D72" s="66"/>
      <c r="E72" s="66"/>
      <c r="F72" s="74"/>
      <c r="G72" s="68"/>
      <c r="H72" s="78"/>
      <c r="I72" s="68"/>
      <c r="J72" s="78"/>
      <c r="K72" s="68"/>
      <c r="L72" s="78"/>
      <c r="M72" s="68"/>
      <c r="N72" s="78"/>
      <c r="O72" s="68"/>
      <c r="P72" s="78"/>
      <c r="Q72" s="68"/>
      <c r="R72" s="78"/>
      <c r="S72" s="68"/>
      <c r="T72" s="78"/>
      <c r="U72" s="68"/>
      <c r="V72" s="78"/>
      <c r="W72" s="101"/>
      <c r="X72" s="102"/>
      <c r="Y72" s="101"/>
      <c r="Z72" s="102"/>
      <c r="AA72" s="101"/>
      <c r="AB72" s="101"/>
      <c r="AC72" s="101"/>
      <c r="AD72" s="103"/>
      <c r="AE72" s="103"/>
    </row>
    <row r="73" spans="1:31" x14ac:dyDescent="0.25">
      <c r="A73" s="296"/>
      <c r="B73" s="297"/>
      <c r="C73" s="65" t="s">
        <v>9</v>
      </c>
      <c r="D73" s="66">
        <f>'2023 ACCRUAL'!AE77</f>
        <v>5</v>
      </c>
      <c r="E73" s="66">
        <v>15</v>
      </c>
      <c r="F73" s="74"/>
      <c r="G73" s="68">
        <f>$E73/12-F73+D73</f>
        <v>6.25</v>
      </c>
      <c r="H73" s="78"/>
      <c r="I73" s="68">
        <f t="shared" ref="I73" si="263">$E73/12+G73-H73</f>
        <v>7.5</v>
      </c>
      <c r="J73" s="78"/>
      <c r="K73" s="68">
        <f t="shared" ref="K73:K74" si="264">$E73/12+I73-J73</f>
        <v>8.75</v>
      </c>
      <c r="L73" s="78"/>
      <c r="M73" s="68">
        <f t="shared" ref="M73:M74" si="265">$E73/12+K73-L73</f>
        <v>10</v>
      </c>
      <c r="N73" s="78"/>
      <c r="O73" s="68">
        <f t="shared" ref="O73:O74" si="266">$E73/12+M73-N73</f>
        <v>11.25</v>
      </c>
      <c r="P73" s="78"/>
      <c r="Q73" s="68">
        <f t="shared" ref="Q73:Q74" si="267">$E73/12+O73-P73</f>
        <v>12.5</v>
      </c>
      <c r="R73" s="78">
        <v>1</v>
      </c>
      <c r="S73" s="68">
        <f t="shared" ref="S73:S74" si="268">$E73/12+Q73-R73</f>
        <v>12.75</v>
      </c>
      <c r="T73" s="78"/>
      <c r="U73" s="68">
        <f t="shared" ref="U73:U74" si="269">$E73/12+S73-T73</f>
        <v>14</v>
      </c>
      <c r="V73" s="78"/>
      <c r="W73" s="101">
        <f t="shared" ref="W73:W74" si="270">$E73/12+U73-V73</f>
        <v>15.25</v>
      </c>
      <c r="X73" s="102"/>
      <c r="Y73" s="101">
        <f t="shared" ref="Y73:Y74" si="271">$E73/12+W73-X73</f>
        <v>16.5</v>
      </c>
      <c r="Z73" s="102"/>
      <c r="AA73" s="101">
        <f t="shared" ref="AA73:AA74" si="272">$E73/12+Y73-Z73</f>
        <v>17.75</v>
      </c>
      <c r="AB73" s="101"/>
      <c r="AC73" s="101">
        <f t="shared" ref="AC73:AC74" si="273">$E73/12+AA73-AB73</f>
        <v>19</v>
      </c>
      <c r="AD73" s="103" t="s">
        <v>143</v>
      </c>
      <c r="AE73" s="103">
        <f>AC73</f>
        <v>19</v>
      </c>
    </row>
    <row r="74" spans="1:31" x14ac:dyDescent="0.25">
      <c r="A74" s="298"/>
      <c r="B74" s="299"/>
      <c r="C74" s="63" t="s">
        <v>8</v>
      </c>
      <c r="D74" s="96">
        <f>'2023 ACCRUAL'!AE78</f>
        <v>1.6666666666666667</v>
      </c>
      <c r="E74" s="64">
        <v>5</v>
      </c>
      <c r="F74" s="75"/>
      <c r="G74" s="68">
        <f>$E74/12-F74+D74</f>
        <v>2.0833333333333335</v>
      </c>
      <c r="H74" s="79"/>
      <c r="I74" s="70">
        <f>$E74/12+G74-H74</f>
        <v>2.5</v>
      </c>
      <c r="J74" s="79">
        <v>1</v>
      </c>
      <c r="K74" s="70">
        <f t="shared" si="264"/>
        <v>1.9166666666666665</v>
      </c>
      <c r="L74" s="79"/>
      <c r="M74" s="70">
        <f t="shared" si="265"/>
        <v>2.333333333333333</v>
      </c>
      <c r="N74" s="79"/>
      <c r="O74" s="70">
        <f t="shared" si="266"/>
        <v>2.7499999999999996</v>
      </c>
      <c r="P74" s="79">
        <v>1</v>
      </c>
      <c r="Q74" s="70">
        <f t="shared" si="267"/>
        <v>2.1666666666666661</v>
      </c>
      <c r="R74" s="79">
        <v>1</v>
      </c>
      <c r="S74" s="70">
        <f t="shared" si="268"/>
        <v>1.5833333333333326</v>
      </c>
      <c r="T74" s="79">
        <v>1</v>
      </c>
      <c r="U74" s="70">
        <f t="shared" si="269"/>
        <v>0.99999999999999933</v>
      </c>
      <c r="V74" s="79"/>
      <c r="W74" s="104">
        <f t="shared" si="270"/>
        <v>1.4166666666666661</v>
      </c>
      <c r="X74" s="81"/>
      <c r="Y74" s="104">
        <f t="shared" si="271"/>
        <v>1.8333333333333328</v>
      </c>
      <c r="Z74" s="81"/>
      <c r="AA74" s="104">
        <f t="shared" si="272"/>
        <v>2.2499999999999996</v>
      </c>
      <c r="AB74" s="104"/>
      <c r="AC74" s="104">
        <f t="shared" si="273"/>
        <v>2.6666666666666661</v>
      </c>
      <c r="AD74" s="103" t="s">
        <v>144</v>
      </c>
      <c r="AE74" s="105">
        <f t="shared" ref="AE74" si="274">AC74</f>
        <v>2.6666666666666661</v>
      </c>
    </row>
    <row r="75" spans="1:31" x14ac:dyDescent="0.25">
      <c r="A75" s="294" t="s">
        <v>169</v>
      </c>
      <c r="B75" s="295"/>
      <c r="C75" s="63"/>
      <c r="D75" s="66"/>
      <c r="E75" s="66"/>
      <c r="F75" s="74"/>
      <c r="G75" s="68"/>
      <c r="H75" s="78"/>
      <c r="I75" s="68"/>
      <c r="J75" s="78"/>
      <c r="K75" s="68"/>
      <c r="L75" s="78"/>
      <c r="M75" s="68"/>
      <c r="N75" s="78"/>
      <c r="O75" s="68"/>
      <c r="P75" s="78"/>
      <c r="Q75" s="68"/>
      <c r="R75" s="78"/>
      <c r="S75" s="68"/>
      <c r="T75" s="78"/>
      <c r="U75" s="68"/>
      <c r="V75" s="78"/>
      <c r="W75" s="101"/>
      <c r="X75" s="102"/>
      <c r="Y75" s="101"/>
      <c r="Z75" s="102"/>
      <c r="AA75" s="101"/>
      <c r="AB75" s="101"/>
      <c r="AC75" s="101"/>
      <c r="AD75" s="103"/>
      <c r="AE75" s="103"/>
    </row>
    <row r="76" spans="1:31" x14ac:dyDescent="0.25">
      <c r="A76" s="296"/>
      <c r="B76" s="297"/>
      <c r="C76" s="65" t="s">
        <v>9</v>
      </c>
      <c r="D76" s="66">
        <f>'2023 ACCRUAL'!AE80</f>
        <v>5</v>
      </c>
      <c r="E76" s="66">
        <v>15</v>
      </c>
      <c r="F76" s="74"/>
      <c r="G76" s="68">
        <f>$E76/12-F76+D76</f>
        <v>6.25</v>
      </c>
      <c r="H76" s="78">
        <v>1</v>
      </c>
      <c r="I76" s="68">
        <f t="shared" ref="I76" si="275">$E76/12+G76-H76</f>
        <v>6.5</v>
      </c>
      <c r="J76" s="78"/>
      <c r="K76" s="68">
        <f t="shared" ref="K76:K77" si="276">$E76/12+I76-J76</f>
        <v>7.75</v>
      </c>
      <c r="L76" s="78">
        <v>2</v>
      </c>
      <c r="M76" s="68">
        <f t="shared" ref="M76:M77" si="277">$E76/12+K76-L76</f>
        <v>7</v>
      </c>
      <c r="N76" s="78"/>
      <c r="O76" s="68">
        <f t="shared" ref="O76:O77" si="278">$E76/12+M76-N76</f>
        <v>8.25</v>
      </c>
      <c r="P76" s="78">
        <v>1</v>
      </c>
      <c r="Q76" s="68">
        <f t="shared" ref="Q76:Q77" si="279">$E76/12+O76-P76</f>
        <v>8.5</v>
      </c>
      <c r="R76" s="78">
        <v>3</v>
      </c>
      <c r="S76" s="68">
        <f t="shared" ref="S76:S77" si="280">$E76/12+Q76-R76</f>
        <v>6.75</v>
      </c>
      <c r="T76" s="78"/>
      <c r="U76" s="68">
        <f t="shared" ref="U76:U77" si="281">$E76/12+S76-T76</f>
        <v>8</v>
      </c>
      <c r="V76" s="78"/>
      <c r="W76" s="101">
        <f t="shared" ref="W76:W77" si="282">$E76/12+U76-V76</f>
        <v>9.25</v>
      </c>
      <c r="X76" s="102"/>
      <c r="Y76" s="101">
        <f t="shared" ref="Y76:Y77" si="283">$E76/12+W76-X76</f>
        <v>10.5</v>
      </c>
      <c r="Z76" s="102"/>
      <c r="AA76" s="101">
        <f t="shared" ref="AA76:AA77" si="284">$E76/12+Y76-Z76</f>
        <v>11.75</v>
      </c>
      <c r="AB76" s="101"/>
      <c r="AC76" s="101">
        <f t="shared" ref="AC76:AC77" si="285">$E76/12+AA76-AB76</f>
        <v>13</v>
      </c>
      <c r="AD76" s="103" t="s">
        <v>143</v>
      </c>
      <c r="AE76" s="103">
        <f>AC76</f>
        <v>13</v>
      </c>
    </row>
    <row r="77" spans="1:31" x14ac:dyDescent="0.25">
      <c r="A77" s="298"/>
      <c r="B77" s="299"/>
      <c r="C77" s="63" t="s">
        <v>8</v>
      </c>
      <c r="D77" s="96">
        <f>'2023 ACCRUAL'!AE81</f>
        <v>1.6666666666666667</v>
      </c>
      <c r="E77" s="64">
        <v>5</v>
      </c>
      <c r="F77" s="75"/>
      <c r="G77" s="68">
        <f>$E77/12-F77+D77</f>
        <v>2.0833333333333335</v>
      </c>
      <c r="H77" s="79"/>
      <c r="I77" s="70">
        <f>$E77/12+G77-H77</f>
        <v>2.5</v>
      </c>
      <c r="J77" s="79">
        <v>2</v>
      </c>
      <c r="K77" s="70">
        <f t="shared" si="276"/>
        <v>0.91666666666666652</v>
      </c>
      <c r="L77" s="79"/>
      <c r="M77" s="70">
        <f t="shared" si="277"/>
        <v>1.3333333333333333</v>
      </c>
      <c r="N77" s="79">
        <v>2</v>
      </c>
      <c r="O77" s="86">
        <f t="shared" si="278"/>
        <v>-0.25</v>
      </c>
      <c r="P77" s="79"/>
      <c r="Q77" s="86">
        <f t="shared" si="279"/>
        <v>0.16666666666666669</v>
      </c>
      <c r="R77" s="80"/>
      <c r="S77" s="86">
        <f t="shared" si="280"/>
        <v>0.58333333333333337</v>
      </c>
      <c r="T77" s="79"/>
      <c r="U77" s="70">
        <f t="shared" si="281"/>
        <v>1</v>
      </c>
      <c r="V77" s="79"/>
      <c r="W77" s="104">
        <f t="shared" si="282"/>
        <v>1.4166666666666667</v>
      </c>
      <c r="X77" s="81"/>
      <c r="Y77" s="104">
        <f t="shared" si="283"/>
        <v>1.8333333333333335</v>
      </c>
      <c r="Z77" s="81"/>
      <c r="AA77" s="104">
        <f t="shared" si="284"/>
        <v>2.25</v>
      </c>
      <c r="AB77" s="104"/>
      <c r="AC77" s="104">
        <f t="shared" si="285"/>
        <v>2.6666666666666665</v>
      </c>
      <c r="AD77" s="103" t="s">
        <v>144</v>
      </c>
      <c r="AE77" s="105">
        <f t="shared" ref="AE77" si="286">AC77</f>
        <v>2.6666666666666665</v>
      </c>
    </row>
    <row r="78" spans="1:31" x14ac:dyDescent="0.25">
      <c r="A78" s="294" t="s">
        <v>170</v>
      </c>
      <c r="B78" s="295"/>
      <c r="C78" s="63"/>
      <c r="D78" s="66"/>
      <c r="E78" s="66"/>
      <c r="F78" s="74"/>
      <c r="G78" s="68"/>
      <c r="H78" s="78"/>
      <c r="I78" s="68"/>
      <c r="J78" s="78"/>
      <c r="K78" s="68"/>
      <c r="L78" s="78"/>
      <c r="M78" s="68"/>
      <c r="N78" s="78"/>
      <c r="O78" s="68"/>
      <c r="P78" s="78"/>
      <c r="Q78" s="68"/>
      <c r="R78" s="78"/>
      <c r="S78" s="68"/>
      <c r="T78" s="78"/>
      <c r="U78" s="68"/>
      <c r="V78" s="78"/>
      <c r="W78" s="101"/>
      <c r="X78" s="102"/>
      <c r="Y78" s="101"/>
      <c r="Z78" s="102"/>
      <c r="AA78" s="101"/>
      <c r="AB78" s="101"/>
      <c r="AC78" s="101"/>
      <c r="AD78" s="103"/>
      <c r="AE78" s="103"/>
    </row>
    <row r="79" spans="1:31" x14ac:dyDescent="0.25">
      <c r="A79" s="296"/>
      <c r="B79" s="297"/>
      <c r="C79" s="65" t="s">
        <v>9</v>
      </c>
      <c r="D79" s="66">
        <f>'2023 ACCRUAL'!AE83</f>
        <v>5</v>
      </c>
      <c r="E79" s="66">
        <v>15</v>
      </c>
      <c r="F79" s="74"/>
      <c r="G79" s="68">
        <f>$E79/12-F79+D79</f>
        <v>6.25</v>
      </c>
      <c r="H79" s="78"/>
      <c r="I79" s="68">
        <f t="shared" ref="I79" si="287">$E79/12+G79-H79</f>
        <v>7.5</v>
      </c>
      <c r="J79" s="78"/>
      <c r="K79" s="68">
        <f t="shared" ref="K79:K80" si="288">$E79/12+I79-J79</f>
        <v>8.75</v>
      </c>
      <c r="L79" s="78">
        <v>1</v>
      </c>
      <c r="M79" s="68">
        <f t="shared" ref="M79:M80" si="289">$E79/12+K79-L79</f>
        <v>9</v>
      </c>
      <c r="N79" s="78"/>
      <c r="O79" s="68">
        <f t="shared" ref="O79:O80" si="290">$E79/12+M79-N79</f>
        <v>10.25</v>
      </c>
      <c r="P79" s="78"/>
      <c r="Q79" s="68">
        <f t="shared" ref="Q79:Q80" si="291">$E79/12+O79-P79</f>
        <v>11.5</v>
      </c>
      <c r="R79" s="78">
        <v>1</v>
      </c>
      <c r="S79" s="68">
        <f t="shared" ref="S79:S80" si="292">$E79/12+Q79-R79</f>
        <v>11.75</v>
      </c>
      <c r="T79" s="78"/>
      <c r="U79" s="68">
        <f t="shared" ref="U79:U80" si="293">$E79/12+S79-T79</f>
        <v>13</v>
      </c>
      <c r="V79" s="78">
        <v>1</v>
      </c>
      <c r="W79" s="101">
        <f t="shared" ref="W79:W80" si="294">$E79/12+U79-V79</f>
        <v>13.25</v>
      </c>
      <c r="X79" s="102"/>
      <c r="Y79" s="101">
        <f t="shared" ref="Y79:Y80" si="295">$E79/12+W79-X79</f>
        <v>14.5</v>
      </c>
      <c r="Z79" s="102"/>
      <c r="AA79" s="101">
        <f t="shared" ref="AA79:AA80" si="296">$E79/12+Y79-Z79</f>
        <v>15.75</v>
      </c>
      <c r="AB79" s="101"/>
      <c r="AC79" s="101">
        <f t="shared" ref="AC79:AC80" si="297">$E79/12+AA79-AB79</f>
        <v>17</v>
      </c>
      <c r="AD79" s="103" t="s">
        <v>143</v>
      </c>
      <c r="AE79" s="103">
        <f>AC79</f>
        <v>17</v>
      </c>
    </row>
    <row r="80" spans="1:31" x14ac:dyDescent="0.25">
      <c r="A80" s="298"/>
      <c r="B80" s="299"/>
      <c r="C80" s="63" t="s">
        <v>8</v>
      </c>
      <c r="D80" s="96">
        <f>'2023 ACCRUAL'!AE84</f>
        <v>1.6666666666666667</v>
      </c>
      <c r="E80" s="64">
        <v>5</v>
      </c>
      <c r="F80" s="75"/>
      <c r="G80" s="68">
        <f>$E80/12-F80+D80</f>
        <v>2.0833333333333335</v>
      </c>
      <c r="H80" s="79"/>
      <c r="I80" s="70">
        <f>$E80/12+G80-H80</f>
        <v>2.5</v>
      </c>
      <c r="J80" s="79"/>
      <c r="K80" s="70">
        <f t="shared" si="288"/>
        <v>2.9166666666666665</v>
      </c>
      <c r="L80" s="79"/>
      <c r="M80" s="70">
        <f t="shared" si="289"/>
        <v>3.333333333333333</v>
      </c>
      <c r="N80" s="79">
        <v>2</v>
      </c>
      <c r="O80" s="70">
        <f t="shared" si="290"/>
        <v>1.7499999999999996</v>
      </c>
      <c r="P80" s="79">
        <v>1</v>
      </c>
      <c r="Q80" s="70">
        <f t="shared" si="291"/>
        <v>1.1666666666666661</v>
      </c>
      <c r="R80" s="79"/>
      <c r="S80" s="70">
        <f t="shared" si="292"/>
        <v>1.5833333333333328</v>
      </c>
      <c r="T80" s="79">
        <v>1</v>
      </c>
      <c r="U80" s="70">
        <f t="shared" si="293"/>
        <v>0.99999999999999956</v>
      </c>
      <c r="V80" s="79"/>
      <c r="W80" s="104">
        <f t="shared" si="294"/>
        <v>1.4166666666666663</v>
      </c>
      <c r="X80" s="81"/>
      <c r="Y80" s="104">
        <f t="shared" si="295"/>
        <v>1.833333333333333</v>
      </c>
      <c r="Z80" s="81"/>
      <c r="AA80" s="104">
        <f t="shared" si="296"/>
        <v>2.2499999999999996</v>
      </c>
      <c r="AB80" s="104"/>
      <c r="AC80" s="104">
        <f t="shared" si="297"/>
        <v>2.6666666666666661</v>
      </c>
      <c r="AD80" s="103" t="s">
        <v>144</v>
      </c>
      <c r="AE80" s="105">
        <f t="shared" ref="AE80" si="298">AC80</f>
        <v>2.6666666666666661</v>
      </c>
    </row>
    <row r="81" spans="1:31" x14ac:dyDescent="0.25">
      <c r="A81" s="317" t="s">
        <v>171</v>
      </c>
      <c r="B81" s="318"/>
      <c r="C81" s="63"/>
      <c r="D81" s="66"/>
      <c r="E81" s="66"/>
      <c r="F81" s="74"/>
      <c r="G81" s="68"/>
      <c r="H81" s="78"/>
      <c r="I81" s="68"/>
      <c r="J81" s="78"/>
      <c r="K81" s="68"/>
      <c r="L81" s="78"/>
      <c r="M81" s="68"/>
      <c r="N81" s="78"/>
      <c r="O81" s="68"/>
      <c r="P81" s="78"/>
      <c r="Q81" s="68"/>
      <c r="R81" s="78"/>
      <c r="S81" s="68"/>
      <c r="T81" s="78"/>
      <c r="U81" s="68"/>
      <c r="V81" s="78"/>
      <c r="W81" s="101"/>
      <c r="X81" s="102"/>
      <c r="Y81" s="101"/>
      <c r="Z81" s="102"/>
      <c r="AA81" s="101"/>
      <c r="AB81" s="101"/>
      <c r="AC81" s="101"/>
      <c r="AD81" s="103"/>
      <c r="AE81" s="103"/>
    </row>
    <row r="82" spans="1:31" x14ac:dyDescent="0.25">
      <c r="A82" s="319"/>
      <c r="B82" s="320"/>
      <c r="C82" s="65" t="s">
        <v>9</v>
      </c>
      <c r="D82" s="66">
        <f>'2023 ACCRUAL'!AE86</f>
        <v>2.5</v>
      </c>
      <c r="E82" s="66">
        <v>15</v>
      </c>
      <c r="F82" s="74"/>
      <c r="G82" s="68">
        <f>$E82/12-F82+D82</f>
        <v>3.75</v>
      </c>
      <c r="H82" s="78"/>
      <c r="I82" s="68">
        <f t="shared" ref="I82" si="299">$E82/12+G82-H82</f>
        <v>5</v>
      </c>
      <c r="J82" s="78"/>
      <c r="K82" s="68">
        <f t="shared" ref="K82:K83" si="300">$E82/12+I82-J82</f>
        <v>6.25</v>
      </c>
      <c r="L82" s="78"/>
      <c r="M82" s="68">
        <f t="shared" ref="M82:M83" si="301">$E82/12+K82-L82</f>
        <v>7.5</v>
      </c>
      <c r="N82" s="78"/>
      <c r="O82" s="68">
        <f t="shared" ref="O82:O83" si="302">$E82/12+M82-N82</f>
        <v>8.75</v>
      </c>
      <c r="P82" s="78">
        <v>1</v>
      </c>
      <c r="Q82" s="68">
        <f t="shared" ref="Q82:Q83" si="303">$E82/12+O82-P82</f>
        <v>9</v>
      </c>
      <c r="R82" s="78"/>
      <c r="S82" s="68">
        <f t="shared" ref="S82:S83" si="304">$E82/12+Q82-R82</f>
        <v>10.25</v>
      </c>
      <c r="T82" s="78"/>
      <c r="U82" s="68">
        <f t="shared" ref="U82:U83" si="305">$E82/12+S82-T82</f>
        <v>11.5</v>
      </c>
      <c r="V82" s="78"/>
      <c r="W82" s="101">
        <f t="shared" ref="W82:W83" si="306">$E82/12+U82-V82</f>
        <v>12.75</v>
      </c>
      <c r="X82" s="102"/>
      <c r="Y82" s="101">
        <f t="shared" ref="Y82:Y83" si="307">$E82/12+W82-X82</f>
        <v>14</v>
      </c>
      <c r="Z82" s="102"/>
      <c r="AA82" s="101">
        <f t="shared" ref="AA82:AA83" si="308">$E82/12+Y82-Z82</f>
        <v>15.25</v>
      </c>
      <c r="AB82" s="101"/>
      <c r="AC82" s="101">
        <f t="shared" ref="AC82:AC83" si="309">$E82/12+AA82-AB82</f>
        <v>16.5</v>
      </c>
      <c r="AD82" s="103" t="s">
        <v>143</v>
      </c>
      <c r="AE82" s="103">
        <f>AC82</f>
        <v>16.5</v>
      </c>
    </row>
    <row r="83" spans="1:31" x14ac:dyDescent="0.25">
      <c r="A83" s="321"/>
      <c r="B83" s="322"/>
      <c r="C83" s="63" t="s">
        <v>8</v>
      </c>
      <c r="D83" s="96">
        <f>'2023 ACCRUAL'!AE87</f>
        <v>0.83333333333333337</v>
      </c>
      <c r="E83" s="64">
        <v>5</v>
      </c>
      <c r="F83" s="75"/>
      <c r="G83" s="68">
        <f>$E83/12-F83+D83</f>
        <v>1.25</v>
      </c>
      <c r="H83" s="79"/>
      <c r="I83" s="70">
        <f>$E83/12+G83-H83</f>
        <v>1.6666666666666667</v>
      </c>
      <c r="J83" s="79"/>
      <c r="K83" s="70">
        <f t="shared" si="300"/>
        <v>2.0833333333333335</v>
      </c>
      <c r="L83" s="79"/>
      <c r="M83" s="70">
        <f t="shared" si="301"/>
        <v>2.5</v>
      </c>
      <c r="N83" s="79"/>
      <c r="O83" s="70">
        <f t="shared" si="302"/>
        <v>2.9166666666666665</v>
      </c>
      <c r="P83" s="79"/>
      <c r="Q83" s="70">
        <f t="shared" si="303"/>
        <v>3.333333333333333</v>
      </c>
      <c r="R83" s="79"/>
      <c r="S83" s="70">
        <f t="shared" si="304"/>
        <v>3.7499999999999996</v>
      </c>
      <c r="T83" s="79"/>
      <c r="U83" s="70">
        <f t="shared" si="305"/>
        <v>4.1666666666666661</v>
      </c>
      <c r="V83" s="79"/>
      <c r="W83" s="104">
        <f t="shared" si="306"/>
        <v>4.583333333333333</v>
      </c>
      <c r="X83" s="81"/>
      <c r="Y83" s="104">
        <f t="shared" si="307"/>
        <v>5</v>
      </c>
      <c r="Z83" s="81"/>
      <c r="AA83" s="104">
        <f t="shared" si="308"/>
        <v>5.416666666666667</v>
      </c>
      <c r="AB83" s="104"/>
      <c r="AC83" s="104">
        <f t="shared" si="309"/>
        <v>5.8333333333333339</v>
      </c>
      <c r="AD83" s="103" t="s">
        <v>144</v>
      </c>
      <c r="AE83" s="105">
        <f t="shared" ref="AE83" si="310">AC83</f>
        <v>5.8333333333333339</v>
      </c>
    </row>
    <row r="84" spans="1:31" x14ac:dyDescent="0.25">
      <c r="A84" s="317" t="s">
        <v>207</v>
      </c>
      <c r="B84" s="318"/>
      <c r="C84" s="63"/>
      <c r="D84" s="66"/>
      <c r="E84" s="66"/>
      <c r="F84" s="116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78"/>
      <c r="W84" s="101"/>
      <c r="X84" s="102"/>
      <c r="Y84" s="101"/>
      <c r="Z84" s="102"/>
      <c r="AA84" s="101"/>
      <c r="AB84" s="102"/>
      <c r="AC84" s="101"/>
      <c r="AD84" s="103"/>
      <c r="AE84" s="103"/>
    </row>
    <row r="85" spans="1:31" x14ac:dyDescent="0.25">
      <c r="A85" s="319"/>
      <c r="B85" s="320"/>
      <c r="C85" s="65" t="s">
        <v>9</v>
      </c>
      <c r="D85" s="66">
        <f>'2023 ACCRUAL'!AE90</f>
        <v>0</v>
      </c>
      <c r="E85" s="66">
        <v>15</v>
      </c>
      <c r="F85" s="116"/>
      <c r="G85" s="68"/>
      <c r="H85" s="68"/>
      <c r="I85" s="68">
        <f t="shared" ref="I85" si="311">$E85/12+G85-H85</f>
        <v>1.25</v>
      </c>
      <c r="J85" s="68"/>
      <c r="K85" s="68">
        <f t="shared" ref="K85:K86" si="312">$E85/12+I85-J85</f>
        <v>2.5</v>
      </c>
      <c r="L85" s="68"/>
      <c r="M85" s="68">
        <f t="shared" ref="M85:M86" si="313">$E85/12+K85-L85</f>
        <v>3.75</v>
      </c>
      <c r="N85" s="68"/>
      <c r="O85" s="68">
        <f t="shared" ref="O85:O86" si="314">$E85/12+M85-N85</f>
        <v>5</v>
      </c>
      <c r="P85" s="68"/>
      <c r="Q85" s="68">
        <f t="shared" ref="Q85:Q86" si="315">$E85/12+O85-P85</f>
        <v>6.25</v>
      </c>
      <c r="R85" s="68"/>
      <c r="S85" s="68">
        <f t="shared" ref="S85:S86" si="316">$E85/12+Q85-R85</f>
        <v>7.5</v>
      </c>
      <c r="T85" s="68"/>
      <c r="U85" s="68">
        <f t="shared" ref="U85:U86" si="317">$E85/12+S85-T85</f>
        <v>8.75</v>
      </c>
      <c r="V85" s="78"/>
      <c r="W85" s="101">
        <f t="shared" ref="W85:W86" si="318">$E85/12+U85-V85</f>
        <v>10</v>
      </c>
      <c r="X85" s="102"/>
      <c r="Y85" s="101">
        <f t="shared" ref="Y85:Y86" si="319">$E85/12+W85-X85</f>
        <v>11.25</v>
      </c>
      <c r="Z85" s="102"/>
      <c r="AA85" s="101">
        <f t="shared" ref="AA85:AA86" si="320">$E85/12+Y85-Z85</f>
        <v>12.5</v>
      </c>
      <c r="AB85" s="102"/>
      <c r="AC85" s="101">
        <f t="shared" ref="AC85:AC86" si="321">$E85/12+AA85-AB85</f>
        <v>13.75</v>
      </c>
      <c r="AD85" s="103" t="s">
        <v>143</v>
      </c>
      <c r="AE85" s="103">
        <f>AC85</f>
        <v>13.75</v>
      </c>
    </row>
    <row r="86" spans="1:31" x14ac:dyDescent="0.25">
      <c r="A86" s="321"/>
      <c r="B86" s="322"/>
      <c r="C86" s="63" t="s">
        <v>8</v>
      </c>
      <c r="D86" s="96">
        <f>'2023 ACCRUAL'!AE91</f>
        <v>0</v>
      </c>
      <c r="E86" s="64">
        <v>5</v>
      </c>
      <c r="F86" s="117"/>
      <c r="G86" s="68"/>
      <c r="H86" s="70"/>
      <c r="I86" s="70">
        <f>$E86/12+G86-H86</f>
        <v>0.41666666666666669</v>
      </c>
      <c r="J86" s="70"/>
      <c r="K86" s="70">
        <f t="shared" si="312"/>
        <v>0.83333333333333337</v>
      </c>
      <c r="L86" s="70"/>
      <c r="M86" s="70">
        <f t="shared" si="313"/>
        <v>1.25</v>
      </c>
      <c r="N86" s="70"/>
      <c r="O86" s="70">
        <f t="shared" si="314"/>
        <v>1.6666666666666667</v>
      </c>
      <c r="P86" s="70"/>
      <c r="Q86" s="70">
        <f t="shared" si="315"/>
        <v>2.0833333333333335</v>
      </c>
      <c r="R86" s="70"/>
      <c r="S86" s="70">
        <f t="shared" si="316"/>
        <v>2.5</v>
      </c>
      <c r="T86" s="70"/>
      <c r="U86" s="70">
        <f t="shared" si="317"/>
        <v>2.9166666666666665</v>
      </c>
      <c r="V86" s="79"/>
      <c r="W86" s="104">
        <f t="shared" si="318"/>
        <v>3.333333333333333</v>
      </c>
      <c r="X86" s="81"/>
      <c r="Y86" s="104">
        <f t="shared" si="319"/>
        <v>3.7499999999999996</v>
      </c>
      <c r="Z86" s="81"/>
      <c r="AA86" s="104">
        <f t="shared" si="320"/>
        <v>4.1666666666666661</v>
      </c>
      <c r="AB86" s="81"/>
      <c r="AC86" s="104">
        <f t="shared" si="321"/>
        <v>4.583333333333333</v>
      </c>
      <c r="AD86" s="103" t="s">
        <v>144</v>
      </c>
      <c r="AE86" s="105">
        <f t="shared" ref="AE86" si="322">AC86</f>
        <v>4.583333333333333</v>
      </c>
    </row>
    <row r="87" spans="1:31" s="100" customFormat="1" x14ac:dyDescent="0.25">
      <c r="A87" s="323" t="s">
        <v>208</v>
      </c>
      <c r="B87" s="324"/>
      <c r="C87" s="324"/>
      <c r="D87" s="324"/>
      <c r="E87" s="325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98"/>
      <c r="AC87" s="98"/>
      <c r="AD87" s="99"/>
      <c r="AE87" s="99"/>
    </row>
    <row r="88" spans="1:31" x14ac:dyDescent="0.25">
      <c r="A88" s="317" t="s">
        <v>209</v>
      </c>
      <c r="B88" s="318"/>
      <c r="C88" s="63"/>
      <c r="D88" s="66"/>
      <c r="E88" s="66"/>
      <c r="F88" s="116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101"/>
      <c r="X88" s="102"/>
      <c r="Y88" s="101"/>
      <c r="Z88" s="102"/>
      <c r="AA88" s="101"/>
      <c r="AB88" s="102"/>
      <c r="AC88" s="101"/>
      <c r="AD88" s="103"/>
      <c r="AE88" s="103"/>
    </row>
    <row r="89" spans="1:31" x14ac:dyDescent="0.25">
      <c r="A89" s="319"/>
      <c r="B89" s="320"/>
      <c r="C89" s="65" t="s">
        <v>9</v>
      </c>
      <c r="D89" s="66">
        <f>'2023 ACCRUAL'!AE93</f>
        <v>0</v>
      </c>
      <c r="E89" s="66">
        <v>15</v>
      </c>
      <c r="F89" s="116"/>
      <c r="G89" s="68"/>
      <c r="H89" s="68"/>
      <c r="I89" s="68"/>
      <c r="J89" s="68"/>
      <c r="K89" s="68"/>
      <c r="L89" s="68"/>
      <c r="M89" s="68">
        <f t="shared" ref="M89:M90" si="323">$E89/12+K89-L89</f>
        <v>1.25</v>
      </c>
      <c r="N89" s="68"/>
      <c r="O89" s="68">
        <f t="shared" ref="O89:O90" si="324">$E89/12+M89-N89</f>
        <v>2.5</v>
      </c>
      <c r="P89" s="68"/>
      <c r="Q89" s="68">
        <f t="shared" ref="Q89:Q90" si="325">$E89/12+O89-P89</f>
        <v>3.75</v>
      </c>
      <c r="R89" s="68"/>
      <c r="S89" s="68">
        <f t="shared" ref="S89:S90" si="326">$E89/12+Q89-R89</f>
        <v>5</v>
      </c>
      <c r="T89" s="68"/>
      <c r="U89" s="68">
        <f t="shared" ref="U89:U90" si="327">$E89/12+S89-T89</f>
        <v>6.25</v>
      </c>
      <c r="V89" s="68"/>
      <c r="W89" s="101">
        <f t="shared" ref="W89" si="328">$E89/12+U89-V89</f>
        <v>7.5</v>
      </c>
      <c r="X89" s="102"/>
      <c r="Y89" s="101">
        <f t="shared" ref="Y89:Y90" si="329">$E89/12+W89-X89</f>
        <v>8.75</v>
      </c>
      <c r="Z89" s="102"/>
      <c r="AA89" s="101">
        <f t="shared" ref="AA89:AA90" si="330">$E89/12+Y89-Z89</f>
        <v>10</v>
      </c>
      <c r="AB89" s="102"/>
      <c r="AC89" s="101">
        <f t="shared" ref="AC89:AC90" si="331">$E89/12+AA89-AB89</f>
        <v>11.25</v>
      </c>
      <c r="AD89" s="103" t="s">
        <v>143</v>
      </c>
      <c r="AE89" s="103">
        <f>AC89</f>
        <v>11.25</v>
      </c>
    </row>
    <row r="90" spans="1:31" x14ac:dyDescent="0.25">
      <c r="A90" s="321"/>
      <c r="B90" s="322"/>
      <c r="C90" s="63" t="s">
        <v>8</v>
      </c>
      <c r="D90" s="96">
        <f>'2023 ACCRUAL'!AE94</f>
        <v>0</v>
      </c>
      <c r="E90" s="64">
        <v>5</v>
      </c>
      <c r="F90" s="117"/>
      <c r="G90" s="68"/>
      <c r="H90" s="70"/>
      <c r="I90" s="70"/>
      <c r="J90" s="70"/>
      <c r="K90" s="70"/>
      <c r="L90" s="70"/>
      <c r="M90" s="70">
        <f t="shared" si="323"/>
        <v>0.41666666666666669</v>
      </c>
      <c r="N90" s="70"/>
      <c r="O90" s="70">
        <f t="shared" si="324"/>
        <v>0.83333333333333337</v>
      </c>
      <c r="P90" s="70"/>
      <c r="Q90" s="70">
        <f t="shared" si="325"/>
        <v>1.25</v>
      </c>
      <c r="R90" s="70"/>
      <c r="S90" s="70">
        <f t="shared" si="326"/>
        <v>1.6666666666666667</v>
      </c>
      <c r="T90" s="70"/>
      <c r="U90" s="70">
        <f t="shared" si="327"/>
        <v>2.0833333333333335</v>
      </c>
      <c r="V90" s="70"/>
      <c r="W90" s="104">
        <f>$E90/12+U90-V90</f>
        <v>2.5</v>
      </c>
      <c r="X90" s="81"/>
      <c r="Y90" s="104">
        <f t="shared" si="329"/>
        <v>2.9166666666666665</v>
      </c>
      <c r="Z90" s="81"/>
      <c r="AA90" s="104">
        <f t="shared" si="330"/>
        <v>3.333333333333333</v>
      </c>
      <c r="AB90" s="81"/>
      <c r="AC90" s="104">
        <f t="shared" si="331"/>
        <v>3.7499999999999996</v>
      </c>
      <c r="AD90" s="103" t="s">
        <v>144</v>
      </c>
      <c r="AE90" s="105">
        <f t="shared" ref="AE90" si="332">AC90</f>
        <v>3.7499999999999996</v>
      </c>
    </row>
    <row r="91" spans="1:31" x14ac:dyDescent="0.25">
      <c r="A91" s="317" t="s">
        <v>210</v>
      </c>
      <c r="B91" s="318"/>
      <c r="C91" s="63"/>
      <c r="D91" s="66"/>
      <c r="E91" s="66"/>
      <c r="F91" s="116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101"/>
      <c r="X91" s="102"/>
      <c r="Y91" s="101"/>
      <c r="Z91" s="102"/>
      <c r="AA91" s="101"/>
      <c r="AB91" s="102"/>
      <c r="AC91" s="101"/>
      <c r="AD91" s="103"/>
      <c r="AE91" s="103"/>
    </row>
    <row r="92" spans="1:31" x14ac:dyDescent="0.25">
      <c r="A92" s="319"/>
      <c r="B92" s="320"/>
      <c r="C92" s="65" t="s">
        <v>9</v>
      </c>
      <c r="D92" s="66">
        <f>'2023 ACCRUAL'!AE96</f>
        <v>0</v>
      </c>
      <c r="E92" s="66">
        <v>15</v>
      </c>
      <c r="F92" s="116"/>
      <c r="G92" s="68"/>
      <c r="H92" s="68"/>
      <c r="I92" s="68"/>
      <c r="J92" s="68"/>
      <c r="K92" s="68"/>
      <c r="L92" s="68"/>
      <c r="M92" s="68">
        <f t="shared" ref="M92:M93" si="333">$E92/12+K92-L92</f>
        <v>1.25</v>
      </c>
      <c r="N92" s="68"/>
      <c r="O92" s="68">
        <f t="shared" ref="O92:O93" si="334">$E92/12+M92-N92</f>
        <v>2.5</v>
      </c>
      <c r="P92" s="68"/>
      <c r="Q92" s="68">
        <f t="shared" ref="Q92:Q93" si="335">$E92/12+O92-P92</f>
        <v>3.75</v>
      </c>
      <c r="R92" s="68"/>
      <c r="S92" s="68">
        <f t="shared" ref="S92:S93" si="336">$E92/12+Q92-R92</f>
        <v>5</v>
      </c>
      <c r="T92" s="68"/>
      <c r="U92" s="68">
        <f t="shared" ref="U92:U93" si="337">$E92/12+S92-T92</f>
        <v>6.25</v>
      </c>
      <c r="V92" s="68"/>
      <c r="W92" s="101">
        <f t="shared" ref="W92:W93" si="338">$E92/12+U92-V92</f>
        <v>7.5</v>
      </c>
      <c r="X92" s="102"/>
      <c r="Y92" s="101">
        <f t="shared" ref="Y92:Y93" si="339">$E92/12+W92-X92</f>
        <v>8.75</v>
      </c>
      <c r="Z92" s="102"/>
      <c r="AA92" s="101">
        <f t="shared" ref="AA92:AA93" si="340">$E92/12+Y92-Z92</f>
        <v>10</v>
      </c>
      <c r="AB92" s="102"/>
      <c r="AC92" s="101">
        <f t="shared" ref="AC92:AC93" si="341">$E92/12+AA92-AB92</f>
        <v>11.25</v>
      </c>
      <c r="AD92" s="103" t="s">
        <v>143</v>
      </c>
      <c r="AE92" s="103">
        <f>AC92</f>
        <v>11.25</v>
      </c>
    </row>
    <row r="93" spans="1:31" x14ac:dyDescent="0.25">
      <c r="A93" s="321"/>
      <c r="B93" s="322"/>
      <c r="C93" s="63" t="s">
        <v>8</v>
      </c>
      <c r="D93" s="96">
        <f>'2023 ACCRUAL'!AE97</f>
        <v>0</v>
      </c>
      <c r="E93" s="64">
        <v>5</v>
      </c>
      <c r="F93" s="117"/>
      <c r="G93" s="68"/>
      <c r="H93" s="70"/>
      <c r="I93" s="70"/>
      <c r="J93" s="70"/>
      <c r="K93" s="70"/>
      <c r="L93" s="70"/>
      <c r="M93" s="70">
        <f t="shared" si="333"/>
        <v>0.41666666666666669</v>
      </c>
      <c r="N93" s="70"/>
      <c r="O93" s="70">
        <f t="shared" si="334"/>
        <v>0.83333333333333337</v>
      </c>
      <c r="P93" s="70"/>
      <c r="Q93" s="70">
        <f t="shared" si="335"/>
        <v>1.25</v>
      </c>
      <c r="R93" s="70"/>
      <c r="S93" s="70">
        <f t="shared" si="336"/>
        <v>1.6666666666666667</v>
      </c>
      <c r="T93" s="70"/>
      <c r="U93" s="70">
        <f t="shared" si="337"/>
        <v>2.0833333333333335</v>
      </c>
      <c r="V93" s="70"/>
      <c r="W93" s="104">
        <f t="shared" si="338"/>
        <v>2.5</v>
      </c>
      <c r="X93" s="81"/>
      <c r="Y93" s="104">
        <f t="shared" si="339"/>
        <v>2.9166666666666665</v>
      </c>
      <c r="Z93" s="81"/>
      <c r="AA93" s="104">
        <f t="shared" si="340"/>
        <v>3.333333333333333</v>
      </c>
      <c r="AB93" s="81"/>
      <c r="AC93" s="104">
        <f t="shared" si="341"/>
        <v>3.7499999999999996</v>
      </c>
      <c r="AD93" s="103" t="s">
        <v>144</v>
      </c>
      <c r="AE93" s="105">
        <f t="shared" ref="AE93" si="342">AC93</f>
        <v>3.7499999999999996</v>
      </c>
    </row>
    <row r="94" spans="1:31" x14ac:dyDescent="0.25">
      <c r="A94" s="317" t="s">
        <v>211</v>
      </c>
      <c r="B94" s="318"/>
      <c r="C94" s="63"/>
      <c r="D94" s="66"/>
      <c r="E94" s="66"/>
      <c r="F94" s="116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101"/>
      <c r="X94" s="102"/>
      <c r="Y94" s="101"/>
      <c r="Z94" s="102"/>
      <c r="AA94" s="101"/>
      <c r="AB94" s="102"/>
      <c r="AC94" s="101"/>
      <c r="AD94" s="103"/>
      <c r="AE94" s="103"/>
    </row>
    <row r="95" spans="1:31" x14ac:dyDescent="0.25">
      <c r="A95" s="319"/>
      <c r="B95" s="320"/>
      <c r="C95" s="65" t="s">
        <v>9</v>
      </c>
      <c r="D95" s="66">
        <f>'2023 ACCRUAL'!AE99</f>
        <v>0</v>
      </c>
      <c r="E95" s="66">
        <v>15</v>
      </c>
      <c r="F95" s="116"/>
      <c r="G95" s="68"/>
      <c r="H95" s="68"/>
      <c r="I95" s="68"/>
      <c r="J95" s="68"/>
      <c r="K95" s="68"/>
      <c r="L95" s="68"/>
      <c r="M95" s="68">
        <f t="shared" ref="M95:M96" si="343">$E95/12+K95-L95</f>
        <v>1.25</v>
      </c>
      <c r="N95" s="68"/>
      <c r="O95" s="68">
        <f t="shared" ref="O95:O96" si="344">$E95/12+M95-N95</f>
        <v>2.5</v>
      </c>
      <c r="P95" s="68"/>
      <c r="Q95" s="68">
        <f t="shared" ref="Q95:Q96" si="345">$E95/12+O95-P95</f>
        <v>3.75</v>
      </c>
      <c r="R95" s="68"/>
      <c r="S95" s="68">
        <f t="shared" ref="S95:S96" si="346">$E95/12+Q95-R95</f>
        <v>5</v>
      </c>
      <c r="T95" s="68"/>
      <c r="U95" s="68">
        <f t="shared" ref="U95:U96" si="347">$E95/12+S95-T95</f>
        <v>6.25</v>
      </c>
      <c r="V95" s="68"/>
      <c r="W95" s="101">
        <f t="shared" ref="W95:W96" si="348">$E95/12+U95-V95</f>
        <v>7.5</v>
      </c>
      <c r="X95" s="102"/>
      <c r="Y95" s="101">
        <f t="shared" ref="Y95:Y96" si="349">$E95/12+W95-X95</f>
        <v>8.75</v>
      </c>
      <c r="Z95" s="102"/>
      <c r="AA95" s="101">
        <f t="shared" ref="AA95:AA96" si="350">$E95/12+Y95-Z95</f>
        <v>10</v>
      </c>
      <c r="AB95" s="102"/>
      <c r="AC95" s="101">
        <f t="shared" ref="AC95:AC96" si="351">$E95/12+AA95-AB95</f>
        <v>11.25</v>
      </c>
      <c r="AD95" s="103" t="s">
        <v>143</v>
      </c>
      <c r="AE95" s="103">
        <f>AC95</f>
        <v>11.25</v>
      </c>
    </row>
    <row r="96" spans="1:31" x14ac:dyDescent="0.25">
      <c r="A96" s="321"/>
      <c r="B96" s="322"/>
      <c r="C96" s="63" t="s">
        <v>8</v>
      </c>
      <c r="D96" s="96">
        <f>'2023 ACCRUAL'!AE100</f>
        <v>0</v>
      </c>
      <c r="E96" s="64">
        <v>5</v>
      </c>
      <c r="F96" s="117"/>
      <c r="G96" s="68"/>
      <c r="H96" s="70"/>
      <c r="I96" s="70"/>
      <c r="J96" s="70"/>
      <c r="K96" s="70"/>
      <c r="L96" s="70"/>
      <c r="M96" s="70">
        <f t="shared" si="343"/>
        <v>0.41666666666666669</v>
      </c>
      <c r="N96" s="70"/>
      <c r="O96" s="70">
        <f t="shared" si="344"/>
        <v>0.83333333333333337</v>
      </c>
      <c r="P96" s="70"/>
      <c r="Q96" s="70">
        <f t="shared" si="345"/>
        <v>1.25</v>
      </c>
      <c r="R96" s="70"/>
      <c r="S96" s="70">
        <f t="shared" si="346"/>
        <v>1.6666666666666667</v>
      </c>
      <c r="T96" s="70"/>
      <c r="U96" s="70">
        <f t="shared" si="347"/>
        <v>2.0833333333333335</v>
      </c>
      <c r="V96" s="70"/>
      <c r="W96" s="104">
        <f t="shared" si="348"/>
        <v>2.5</v>
      </c>
      <c r="X96" s="81"/>
      <c r="Y96" s="104">
        <f t="shared" si="349"/>
        <v>2.9166666666666665</v>
      </c>
      <c r="Z96" s="81"/>
      <c r="AA96" s="104">
        <f t="shared" si="350"/>
        <v>3.333333333333333</v>
      </c>
      <c r="AB96" s="81"/>
      <c r="AC96" s="104">
        <f t="shared" si="351"/>
        <v>3.7499999999999996</v>
      </c>
      <c r="AD96" s="103" t="s">
        <v>144</v>
      </c>
      <c r="AE96" s="105">
        <f t="shared" ref="AE96" si="352">AC96</f>
        <v>3.7499999999999996</v>
      </c>
    </row>
    <row r="97" spans="1:31" x14ac:dyDescent="0.25">
      <c r="A97" s="317" t="s">
        <v>212</v>
      </c>
      <c r="B97" s="318"/>
      <c r="C97" s="63"/>
      <c r="D97" s="66"/>
      <c r="E97" s="66"/>
      <c r="F97" s="116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101"/>
      <c r="X97" s="102"/>
      <c r="Y97" s="101"/>
      <c r="Z97" s="102"/>
      <c r="AA97" s="101"/>
      <c r="AB97" s="102"/>
      <c r="AC97" s="101"/>
      <c r="AD97" s="103"/>
      <c r="AE97" s="103"/>
    </row>
    <row r="98" spans="1:31" x14ac:dyDescent="0.25">
      <c r="A98" s="319"/>
      <c r="B98" s="320"/>
      <c r="C98" s="65" t="s">
        <v>9</v>
      </c>
      <c r="D98" s="66">
        <f>'2023 ACCRUAL'!AE103</f>
        <v>0</v>
      </c>
      <c r="E98" s="66">
        <v>15</v>
      </c>
      <c r="F98" s="116"/>
      <c r="G98" s="68"/>
      <c r="H98" s="68"/>
      <c r="I98" s="68"/>
      <c r="J98" s="68"/>
      <c r="K98" s="68"/>
      <c r="L98" s="68"/>
      <c r="M98" s="68">
        <f t="shared" ref="M98:M99" si="353">$E98/12+K98-L98</f>
        <v>1.25</v>
      </c>
      <c r="N98" s="68"/>
      <c r="O98" s="68">
        <f t="shared" ref="O98:O99" si="354">$E98/12+M98-N98</f>
        <v>2.5</v>
      </c>
      <c r="P98" s="68"/>
      <c r="Q98" s="68">
        <f t="shared" ref="Q98:Q99" si="355">$E98/12+O98-P98</f>
        <v>3.75</v>
      </c>
      <c r="R98" s="68"/>
      <c r="S98" s="68">
        <f t="shared" ref="S98:S99" si="356">$E98/12+Q98-R98</f>
        <v>5</v>
      </c>
      <c r="T98" s="68"/>
      <c r="U98" s="68">
        <f t="shared" ref="U98:U99" si="357">$E98/12+S98-T98</f>
        <v>6.25</v>
      </c>
      <c r="V98" s="68"/>
      <c r="W98" s="101">
        <f t="shared" ref="W98:W99" si="358">$E98/12+U98-V98</f>
        <v>7.5</v>
      </c>
      <c r="X98" s="102"/>
      <c r="Y98" s="101">
        <f t="shared" ref="Y98:Y99" si="359">$E98/12+W98-X98</f>
        <v>8.75</v>
      </c>
      <c r="Z98" s="102"/>
      <c r="AA98" s="101">
        <f t="shared" ref="AA98:AA99" si="360">$E98/12+Y98-Z98</f>
        <v>10</v>
      </c>
      <c r="AB98" s="102"/>
      <c r="AC98" s="101">
        <f t="shared" ref="AC98:AC99" si="361">$E98/12+AA98-AB98</f>
        <v>11.25</v>
      </c>
      <c r="AD98" s="103" t="s">
        <v>143</v>
      </c>
      <c r="AE98" s="103">
        <f>AC98</f>
        <v>11.25</v>
      </c>
    </row>
    <row r="99" spans="1:31" x14ac:dyDescent="0.25">
      <c r="A99" s="321"/>
      <c r="B99" s="322"/>
      <c r="C99" s="63" t="s">
        <v>8</v>
      </c>
      <c r="D99" s="96">
        <f>'2023 ACCRUAL'!AE104</f>
        <v>0</v>
      </c>
      <c r="E99" s="64">
        <v>5</v>
      </c>
      <c r="F99" s="117"/>
      <c r="G99" s="68"/>
      <c r="H99" s="70"/>
      <c r="I99" s="70"/>
      <c r="J99" s="70"/>
      <c r="K99" s="70"/>
      <c r="L99" s="70"/>
      <c r="M99" s="70">
        <f t="shared" si="353"/>
        <v>0.41666666666666669</v>
      </c>
      <c r="N99" s="70"/>
      <c r="O99" s="70">
        <f t="shared" si="354"/>
        <v>0.83333333333333337</v>
      </c>
      <c r="P99" s="70"/>
      <c r="Q99" s="70">
        <f t="shared" si="355"/>
        <v>1.25</v>
      </c>
      <c r="R99" s="70"/>
      <c r="S99" s="70">
        <f t="shared" si="356"/>
        <v>1.6666666666666667</v>
      </c>
      <c r="T99" s="70"/>
      <c r="U99" s="70">
        <f t="shared" si="357"/>
        <v>2.0833333333333335</v>
      </c>
      <c r="V99" s="70"/>
      <c r="W99" s="104">
        <f t="shared" si="358"/>
        <v>2.5</v>
      </c>
      <c r="X99" s="81"/>
      <c r="Y99" s="104">
        <f t="shared" si="359"/>
        <v>2.9166666666666665</v>
      </c>
      <c r="Z99" s="81"/>
      <c r="AA99" s="104">
        <f t="shared" si="360"/>
        <v>3.333333333333333</v>
      </c>
      <c r="AB99" s="81"/>
      <c r="AC99" s="104">
        <f t="shared" si="361"/>
        <v>3.7499999999999996</v>
      </c>
      <c r="AD99" s="103" t="s">
        <v>144</v>
      </c>
      <c r="AE99" s="105">
        <f t="shared" ref="AE99" si="362">AC99</f>
        <v>3.7499999999999996</v>
      </c>
    </row>
    <row r="100" spans="1:31" x14ac:dyDescent="0.25">
      <c r="A100" s="317" t="s">
        <v>213</v>
      </c>
      <c r="B100" s="318"/>
      <c r="C100" s="63"/>
      <c r="D100" s="66"/>
      <c r="E100" s="66"/>
      <c r="F100" s="116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101"/>
      <c r="X100" s="102"/>
      <c r="Y100" s="101"/>
      <c r="Z100" s="102"/>
      <c r="AA100" s="101"/>
      <c r="AB100" s="102"/>
      <c r="AC100" s="101"/>
      <c r="AD100" s="103"/>
      <c r="AE100" s="103"/>
    </row>
    <row r="101" spans="1:31" x14ac:dyDescent="0.25">
      <c r="A101" s="319"/>
      <c r="B101" s="320"/>
      <c r="C101" s="65" t="s">
        <v>9</v>
      </c>
      <c r="D101" s="66">
        <f>'2023 ACCRUAL'!AE106</f>
        <v>0</v>
      </c>
      <c r="E101" s="66">
        <v>15</v>
      </c>
      <c r="F101" s="116"/>
      <c r="G101" s="68"/>
      <c r="H101" s="68"/>
      <c r="I101" s="68"/>
      <c r="J101" s="68"/>
      <c r="K101" s="68"/>
      <c r="L101" s="68"/>
      <c r="M101" s="68">
        <f t="shared" ref="M101:M102" si="363">$E101/12+K101-L101</f>
        <v>1.25</v>
      </c>
      <c r="N101" s="68"/>
      <c r="O101" s="68">
        <f t="shared" ref="O101:O102" si="364">$E101/12+M101-N101</f>
        <v>2.5</v>
      </c>
      <c r="P101" s="68"/>
      <c r="Q101" s="68">
        <f t="shared" ref="Q101:Q102" si="365">$E101/12+O101-P101</f>
        <v>3.75</v>
      </c>
      <c r="R101" s="68"/>
      <c r="S101" s="68">
        <f t="shared" ref="S101:S102" si="366">$E101/12+Q101-R101</f>
        <v>5</v>
      </c>
      <c r="T101" s="68"/>
      <c r="U101" s="68">
        <f t="shared" ref="U101:U102" si="367">$E101/12+S101-T101</f>
        <v>6.25</v>
      </c>
      <c r="V101" s="68"/>
      <c r="W101" s="101">
        <f t="shared" ref="W101:W102" si="368">$E101/12+U101-V101</f>
        <v>7.5</v>
      </c>
      <c r="X101" s="102"/>
      <c r="Y101" s="101">
        <f t="shared" ref="Y101:Y102" si="369">$E101/12+W101-X101</f>
        <v>8.75</v>
      </c>
      <c r="Z101" s="102"/>
      <c r="AA101" s="101">
        <f t="shared" ref="AA101:AA102" si="370">$E101/12+Y101-Z101</f>
        <v>10</v>
      </c>
      <c r="AB101" s="102"/>
      <c r="AC101" s="101">
        <f t="shared" ref="AC101:AC102" si="371">$E101/12+AA101-AB101</f>
        <v>11.25</v>
      </c>
      <c r="AD101" s="103" t="s">
        <v>143</v>
      </c>
      <c r="AE101" s="103">
        <f>AC101</f>
        <v>11.25</v>
      </c>
    </row>
    <row r="102" spans="1:31" x14ac:dyDescent="0.25">
      <c r="A102" s="321"/>
      <c r="B102" s="322"/>
      <c r="C102" s="63" t="s">
        <v>8</v>
      </c>
      <c r="D102" s="96">
        <f>'2023 ACCRUAL'!AE107</f>
        <v>0</v>
      </c>
      <c r="E102" s="64">
        <v>5</v>
      </c>
      <c r="F102" s="117"/>
      <c r="G102" s="68"/>
      <c r="H102" s="70"/>
      <c r="I102" s="70"/>
      <c r="J102" s="70"/>
      <c r="K102" s="70"/>
      <c r="L102" s="70"/>
      <c r="M102" s="70">
        <f t="shared" si="363"/>
        <v>0.41666666666666669</v>
      </c>
      <c r="N102" s="70"/>
      <c r="O102" s="70">
        <f t="shared" si="364"/>
        <v>0.83333333333333337</v>
      </c>
      <c r="P102" s="70"/>
      <c r="Q102" s="70">
        <f t="shared" si="365"/>
        <v>1.25</v>
      </c>
      <c r="R102" s="70"/>
      <c r="S102" s="70">
        <f t="shared" si="366"/>
        <v>1.6666666666666667</v>
      </c>
      <c r="T102" s="70"/>
      <c r="U102" s="70">
        <f t="shared" si="367"/>
        <v>2.0833333333333335</v>
      </c>
      <c r="V102" s="70"/>
      <c r="W102" s="104">
        <f t="shared" si="368"/>
        <v>2.5</v>
      </c>
      <c r="X102" s="81"/>
      <c r="Y102" s="104">
        <f t="shared" si="369"/>
        <v>2.9166666666666665</v>
      </c>
      <c r="Z102" s="81"/>
      <c r="AA102" s="104">
        <f t="shared" si="370"/>
        <v>3.333333333333333</v>
      </c>
      <c r="AB102" s="81"/>
      <c r="AC102" s="104">
        <f t="shared" si="371"/>
        <v>3.7499999999999996</v>
      </c>
      <c r="AD102" s="103" t="s">
        <v>144</v>
      </c>
      <c r="AE102" s="105">
        <f t="shared" ref="AE102" si="372">AC102</f>
        <v>3.7499999999999996</v>
      </c>
    </row>
    <row r="103" spans="1:31" x14ac:dyDescent="0.25">
      <c r="A103" s="317" t="s">
        <v>214</v>
      </c>
      <c r="B103" s="318"/>
      <c r="C103" s="63"/>
      <c r="D103" s="66"/>
      <c r="E103" s="66"/>
      <c r="F103" s="116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101"/>
      <c r="X103" s="102"/>
      <c r="Y103" s="101"/>
      <c r="Z103" s="102"/>
      <c r="AA103" s="101"/>
      <c r="AB103" s="102"/>
      <c r="AC103" s="101"/>
      <c r="AD103" s="103"/>
      <c r="AE103" s="103"/>
    </row>
    <row r="104" spans="1:31" x14ac:dyDescent="0.25">
      <c r="A104" s="319"/>
      <c r="B104" s="320"/>
      <c r="C104" s="65" t="s">
        <v>9</v>
      </c>
      <c r="D104" s="66">
        <f>'2023 ACCRUAL'!AE109</f>
        <v>0</v>
      </c>
      <c r="E104" s="66">
        <v>15</v>
      </c>
      <c r="F104" s="116"/>
      <c r="G104" s="68"/>
      <c r="H104" s="68"/>
      <c r="I104" s="68"/>
      <c r="J104" s="68"/>
      <c r="K104" s="68"/>
      <c r="L104" s="68"/>
      <c r="M104" s="68">
        <f t="shared" ref="M104:M105" si="373">$E104/12+K104-L104</f>
        <v>1.25</v>
      </c>
      <c r="N104" s="68"/>
      <c r="O104" s="68">
        <f t="shared" ref="O104:O105" si="374">$E104/12+M104-N104</f>
        <v>2.5</v>
      </c>
      <c r="P104" s="68"/>
      <c r="Q104" s="68">
        <f t="shared" ref="Q104:Q105" si="375">$E104/12+O104-P104</f>
        <v>3.75</v>
      </c>
      <c r="R104" s="68"/>
      <c r="S104" s="68">
        <f t="shared" ref="S104:S105" si="376">$E104/12+Q104-R104</f>
        <v>5</v>
      </c>
      <c r="T104" s="68"/>
      <c r="U104" s="68">
        <f t="shared" ref="U104:U105" si="377">$E104/12+S104-T104</f>
        <v>6.25</v>
      </c>
      <c r="V104" s="68"/>
      <c r="W104" s="101">
        <f t="shared" ref="W104:W105" si="378">$E104/12+U104-V104</f>
        <v>7.5</v>
      </c>
      <c r="X104" s="102"/>
      <c r="Y104" s="101">
        <f t="shared" ref="Y104:Y105" si="379">$E104/12+W104-X104</f>
        <v>8.75</v>
      </c>
      <c r="Z104" s="102"/>
      <c r="AA104" s="101">
        <f t="shared" ref="AA104:AA105" si="380">$E104/12+Y104-Z104</f>
        <v>10</v>
      </c>
      <c r="AB104" s="102"/>
      <c r="AC104" s="101">
        <f t="shared" ref="AC104:AC105" si="381">$E104/12+AA104-AB104</f>
        <v>11.25</v>
      </c>
      <c r="AD104" s="103" t="s">
        <v>143</v>
      </c>
      <c r="AE104" s="103">
        <f>AC104</f>
        <v>11.25</v>
      </c>
    </row>
    <row r="105" spans="1:31" x14ac:dyDescent="0.25">
      <c r="A105" s="321"/>
      <c r="B105" s="322"/>
      <c r="C105" s="63" t="s">
        <v>8</v>
      </c>
      <c r="D105" s="96">
        <f>'2023 ACCRUAL'!AE110</f>
        <v>0</v>
      </c>
      <c r="E105" s="64">
        <v>5</v>
      </c>
      <c r="F105" s="117"/>
      <c r="G105" s="68"/>
      <c r="H105" s="70"/>
      <c r="I105" s="70"/>
      <c r="J105" s="70"/>
      <c r="K105" s="70"/>
      <c r="L105" s="70"/>
      <c r="M105" s="70">
        <f t="shared" si="373"/>
        <v>0.41666666666666669</v>
      </c>
      <c r="N105" s="70"/>
      <c r="O105" s="70">
        <f t="shared" si="374"/>
        <v>0.83333333333333337</v>
      </c>
      <c r="P105" s="70"/>
      <c r="Q105" s="70">
        <f t="shared" si="375"/>
        <v>1.25</v>
      </c>
      <c r="R105" s="70"/>
      <c r="S105" s="70">
        <f t="shared" si="376"/>
        <v>1.6666666666666667</v>
      </c>
      <c r="T105" s="70"/>
      <c r="U105" s="70">
        <f t="shared" si="377"/>
        <v>2.0833333333333335</v>
      </c>
      <c r="V105" s="70"/>
      <c r="W105" s="104">
        <f t="shared" si="378"/>
        <v>2.5</v>
      </c>
      <c r="X105" s="81"/>
      <c r="Y105" s="104">
        <f t="shared" si="379"/>
        <v>2.9166666666666665</v>
      </c>
      <c r="Z105" s="81"/>
      <c r="AA105" s="104">
        <f t="shared" si="380"/>
        <v>3.333333333333333</v>
      </c>
      <c r="AB105" s="81"/>
      <c r="AC105" s="104">
        <f t="shared" si="381"/>
        <v>3.7499999999999996</v>
      </c>
      <c r="AD105" s="103" t="s">
        <v>144</v>
      </c>
      <c r="AE105" s="105">
        <f t="shared" ref="AE105" si="382">AC105</f>
        <v>3.7499999999999996</v>
      </c>
    </row>
    <row r="106" spans="1:31" x14ac:dyDescent="0.25">
      <c r="A106" s="317" t="s">
        <v>215</v>
      </c>
      <c r="B106" s="318"/>
      <c r="C106" s="63"/>
      <c r="D106" s="66"/>
      <c r="E106" s="66"/>
      <c r="F106" s="116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101"/>
      <c r="X106" s="102"/>
      <c r="Y106" s="101"/>
      <c r="Z106" s="102"/>
      <c r="AA106" s="101"/>
      <c r="AB106" s="102"/>
      <c r="AC106" s="101"/>
      <c r="AD106" s="103"/>
      <c r="AE106" s="103"/>
    </row>
    <row r="107" spans="1:31" x14ac:dyDescent="0.25">
      <c r="A107" s="319"/>
      <c r="B107" s="320"/>
      <c r="C107" s="65" t="s">
        <v>9</v>
      </c>
      <c r="D107" s="66">
        <f>'2023 ACCRUAL'!AE112</f>
        <v>0</v>
      </c>
      <c r="E107" s="66">
        <v>15</v>
      </c>
      <c r="F107" s="116"/>
      <c r="G107" s="68"/>
      <c r="H107" s="68"/>
      <c r="I107" s="68"/>
      <c r="J107" s="68"/>
      <c r="K107" s="68"/>
      <c r="L107" s="68"/>
      <c r="M107" s="68">
        <f t="shared" ref="M107:M108" si="383">$E107/12+K107-L107</f>
        <v>1.25</v>
      </c>
      <c r="N107" s="68"/>
      <c r="O107" s="68">
        <f t="shared" ref="O107:O108" si="384">$E107/12+M107-N107</f>
        <v>2.5</v>
      </c>
      <c r="P107" s="68"/>
      <c r="Q107" s="68">
        <f t="shared" ref="Q107:Q108" si="385">$E107/12+O107-P107</f>
        <v>3.75</v>
      </c>
      <c r="R107" s="68"/>
      <c r="S107" s="68">
        <f t="shared" ref="S107:S108" si="386">$E107/12+Q107-R107</f>
        <v>5</v>
      </c>
      <c r="T107" s="68"/>
      <c r="U107" s="68">
        <f t="shared" ref="U107:U108" si="387">$E107/12+S107-T107</f>
        <v>6.25</v>
      </c>
      <c r="V107" s="68"/>
      <c r="W107" s="101">
        <f t="shared" ref="W107:W108" si="388">$E107/12+U107-V107</f>
        <v>7.5</v>
      </c>
      <c r="X107" s="102"/>
      <c r="Y107" s="101">
        <f t="shared" ref="Y107:Y108" si="389">$E107/12+W107-X107</f>
        <v>8.75</v>
      </c>
      <c r="Z107" s="102"/>
      <c r="AA107" s="101">
        <f t="shared" ref="AA107:AA108" si="390">$E107/12+Y107-Z107</f>
        <v>10</v>
      </c>
      <c r="AB107" s="102"/>
      <c r="AC107" s="101">
        <f t="shared" ref="AC107:AC108" si="391">$E107/12+AA107-AB107</f>
        <v>11.25</v>
      </c>
      <c r="AD107" s="103" t="s">
        <v>143</v>
      </c>
      <c r="AE107" s="103">
        <f>AC107</f>
        <v>11.25</v>
      </c>
    </row>
    <row r="108" spans="1:31" x14ac:dyDescent="0.25">
      <c r="A108" s="321"/>
      <c r="B108" s="322"/>
      <c r="C108" s="63" t="s">
        <v>8</v>
      </c>
      <c r="D108" s="96">
        <f>'2023 ACCRUAL'!AE113</f>
        <v>0</v>
      </c>
      <c r="E108" s="64">
        <v>5</v>
      </c>
      <c r="F108" s="117"/>
      <c r="G108" s="68"/>
      <c r="H108" s="70"/>
      <c r="I108" s="70"/>
      <c r="J108" s="70"/>
      <c r="K108" s="70"/>
      <c r="L108" s="70"/>
      <c r="M108" s="70">
        <f t="shared" si="383"/>
        <v>0.41666666666666669</v>
      </c>
      <c r="N108" s="70"/>
      <c r="O108" s="70">
        <f t="shared" si="384"/>
        <v>0.83333333333333337</v>
      </c>
      <c r="P108" s="70"/>
      <c r="Q108" s="70">
        <f t="shared" si="385"/>
        <v>1.25</v>
      </c>
      <c r="R108" s="70"/>
      <c r="S108" s="70">
        <f t="shared" si="386"/>
        <v>1.6666666666666667</v>
      </c>
      <c r="T108" s="70"/>
      <c r="U108" s="70">
        <f t="shared" si="387"/>
        <v>2.0833333333333335</v>
      </c>
      <c r="V108" s="70"/>
      <c r="W108" s="104">
        <f t="shared" si="388"/>
        <v>2.5</v>
      </c>
      <c r="X108" s="81"/>
      <c r="Y108" s="104">
        <f t="shared" si="389"/>
        <v>2.9166666666666665</v>
      </c>
      <c r="Z108" s="81"/>
      <c r="AA108" s="104">
        <f t="shared" si="390"/>
        <v>3.333333333333333</v>
      </c>
      <c r="AB108" s="81"/>
      <c r="AC108" s="104">
        <f t="shared" si="391"/>
        <v>3.7499999999999996</v>
      </c>
      <c r="AD108" s="103" t="s">
        <v>144</v>
      </c>
      <c r="AE108" s="105">
        <f t="shared" ref="AE108" si="392">AC108</f>
        <v>3.7499999999999996</v>
      </c>
    </row>
    <row r="109" spans="1:31" x14ac:dyDescent="0.25">
      <c r="A109" s="317" t="s">
        <v>216</v>
      </c>
      <c r="B109" s="318"/>
      <c r="C109" s="63"/>
      <c r="D109" s="66"/>
      <c r="E109" s="66"/>
      <c r="F109" s="116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101"/>
      <c r="X109" s="102"/>
      <c r="Y109" s="101"/>
      <c r="Z109" s="102"/>
      <c r="AA109" s="101"/>
      <c r="AB109" s="102"/>
      <c r="AC109" s="101"/>
      <c r="AD109" s="103"/>
      <c r="AE109" s="103"/>
    </row>
    <row r="110" spans="1:31" x14ac:dyDescent="0.25">
      <c r="A110" s="319"/>
      <c r="B110" s="320"/>
      <c r="C110" s="65" t="s">
        <v>9</v>
      </c>
      <c r="D110" s="66">
        <f>'2023 ACCRUAL'!AE115</f>
        <v>0</v>
      </c>
      <c r="E110" s="66">
        <v>15</v>
      </c>
      <c r="F110" s="116"/>
      <c r="G110" s="68"/>
      <c r="H110" s="68"/>
      <c r="I110" s="68"/>
      <c r="J110" s="68"/>
      <c r="K110" s="68"/>
      <c r="L110" s="68"/>
      <c r="M110" s="68">
        <f t="shared" ref="M110:M111" si="393">$E110/12+K110-L110</f>
        <v>1.25</v>
      </c>
      <c r="N110" s="68"/>
      <c r="O110" s="68">
        <f t="shared" ref="O110:O111" si="394">$E110/12+M110-N110</f>
        <v>2.5</v>
      </c>
      <c r="P110" s="68"/>
      <c r="Q110" s="68">
        <f t="shared" ref="Q110:Q111" si="395">$E110/12+O110-P110</f>
        <v>3.75</v>
      </c>
      <c r="R110" s="68"/>
      <c r="S110" s="68">
        <f t="shared" ref="S110:S111" si="396">$E110/12+Q110-R110</f>
        <v>5</v>
      </c>
      <c r="T110" s="68"/>
      <c r="U110" s="68">
        <f t="shared" ref="U110:U111" si="397">$E110/12+S110-T110</f>
        <v>6.25</v>
      </c>
      <c r="V110" s="68"/>
      <c r="W110" s="101">
        <f t="shared" ref="W110:W111" si="398">$E110/12+U110-V110</f>
        <v>7.5</v>
      </c>
      <c r="X110" s="102"/>
      <c r="Y110" s="101">
        <f t="shared" ref="Y110:Y111" si="399">$E110/12+W110-X110</f>
        <v>8.75</v>
      </c>
      <c r="Z110" s="102"/>
      <c r="AA110" s="101">
        <f t="shared" ref="AA110:AA111" si="400">$E110/12+Y110-Z110</f>
        <v>10</v>
      </c>
      <c r="AB110" s="102"/>
      <c r="AC110" s="101">
        <f t="shared" ref="AC110:AC111" si="401">$E110/12+AA110-AB110</f>
        <v>11.25</v>
      </c>
      <c r="AD110" s="103" t="s">
        <v>143</v>
      </c>
      <c r="AE110" s="103">
        <f>AC110</f>
        <v>11.25</v>
      </c>
    </row>
    <row r="111" spans="1:31" x14ac:dyDescent="0.25">
      <c r="A111" s="321"/>
      <c r="B111" s="322"/>
      <c r="C111" s="63" t="s">
        <v>8</v>
      </c>
      <c r="D111" s="96">
        <f>'2023 ACCRUAL'!AE116</f>
        <v>0</v>
      </c>
      <c r="E111" s="64">
        <v>5</v>
      </c>
      <c r="F111" s="117"/>
      <c r="G111" s="68"/>
      <c r="H111" s="70"/>
      <c r="I111" s="70"/>
      <c r="J111" s="70"/>
      <c r="K111" s="70"/>
      <c r="L111" s="70"/>
      <c r="M111" s="70">
        <f t="shared" si="393"/>
        <v>0.41666666666666669</v>
      </c>
      <c r="N111" s="70"/>
      <c r="O111" s="70">
        <f t="shared" si="394"/>
        <v>0.83333333333333337</v>
      </c>
      <c r="P111" s="70"/>
      <c r="Q111" s="70">
        <f t="shared" si="395"/>
        <v>1.25</v>
      </c>
      <c r="R111" s="70"/>
      <c r="S111" s="70">
        <f t="shared" si="396"/>
        <v>1.6666666666666667</v>
      </c>
      <c r="T111" s="70"/>
      <c r="U111" s="70">
        <f t="shared" si="397"/>
        <v>2.0833333333333335</v>
      </c>
      <c r="V111" s="70"/>
      <c r="W111" s="104">
        <f t="shared" si="398"/>
        <v>2.5</v>
      </c>
      <c r="X111" s="81"/>
      <c r="Y111" s="104">
        <f t="shared" si="399"/>
        <v>2.9166666666666665</v>
      </c>
      <c r="Z111" s="81"/>
      <c r="AA111" s="104">
        <f t="shared" si="400"/>
        <v>3.333333333333333</v>
      </c>
      <c r="AB111" s="81"/>
      <c r="AC111" s="104">
        <f t="shared" si="401"/>
        <v>3.7499999999999996</v>
      </c>
      <c r="AD111" s="103" t="s">
        <v>144</v>
      </c>
      <c r="AE111" s="105">
        <f t="shared" ref="AE111" si="402">AC111</f>
        <v>3.7499999999999996</v>
      </c>
    </row>
    <row r="112" spans="1:31" x14ac:dyDescent="0.25">
      <c r="A112" s="317"/>
      <c r="B112" s="318"/>
      <c r="C112" s="63"/>
      <c r="D112" s="66"/>
      <c r="E112" s="66"/>
      <c r="F112" s="116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101"/>
      <c r="X112" s="101"/>
      <c r="Y112" s="101"/>
      <c r="Z112" s="101"/>
      <c r="AA112" s="101"/>
      <c r="AB112" s="101"/>
      <c r="AC112" s="101"/>
      <c r="AD112" s="103"/>
      <c r="AE112" s="103"/>
    </row>
    <row r="113" spans="1:31" x14ac:dyDescent="0.25">
      <c r="A113" s="319"/>
      <c r="B113" s="320"/>
      <c r="C113" s="65" t="s">
        <v>9</v>
      </c>
      <c r="D113" s="66">
        <f>'2023 ACCRUAL'!AE118</f>
        <v>0</v>
      </c>
      <c r="E113" s="66">
        <v>15</v>
      </c>
      <c r="F113" s="116"/>
      <c r="G113" s="68"/>
      <c r="H113" s="68"/>
      <c r="I113" s="68"/>
      <c r="J113" s="68"/>
      <c r="K113" s="68"/>
      <c r="L113" s="68"/>
      <c r="M113" s="68">
        <f t="shared" ref="M113:M114" si="403">$E113/12+K113-L113</f>
        <v>1.25</v>
      </c>
      <c r="N113" s="68"/>
      <c r="O113" s="68">
        <f t="shared" ref="O113:O114" si="404">$E113/12+M113-N113</f>
        <v>2.5</v>
      </c>
      <c r="P113" s="68"/>
      <c r="Q113" s="68">
        <f t="shared" ref="Q113:Q114" si="405">$E113/12+O113-P113</f>
        <v>3.75</v>
      </c>
      <c r="R113" s="68"/>
      <c r="S113" s="68">
        <f t="shared" ref="S113:S114" si="406">$E113/12+Q113-R113</f>
        <v>5</v>
      </c>
      <c r="T113" s="68"/>
      <c r="U113" s="68">
        <f t="shared" ref="U113:U114" si="407">$E113/12+S113-T113</f>
        <v>6.25</v>
      </c>
      <c r="V113" s="68"/>
      <c r="W113" s="101">
        <f t="shared" ref="W113:W114" si="408">$E113/12+U113-V113</f>
        <v>7.5</v>
      </c>
      <c r="X113" s="101"/>
      <c r="Y113" s="101">
        <f t="shared" ref="Y113:Y114" si="409">$E113/12+W113-X113</f>
        <v>8.75</v>
      </c>
      <c r="Z113" s="101"/>
      <c r="AA113" s="101">
        <f t="shared" ref="AA113:AA114" si="410">$E113/12+Y113-Z113</f>
        <v>10</v>
      </c>
      <c r="AB113" s="101"/>
      <c r="AC113" s="101">
        <f t="shared" ref="AC113:AC114" si="411">$E113/12+AA113-AB113</f>
        <v>11.25</v>
      </c>
      <c r="AD113" s="103" t="s">
        <v>143</v>
      </c>
      <c r="AE113" s="103">
        <f>AC113</f>
        <v>11.25</v>
      </c>
    </row>
    <row r="114" spans="1:31" x14ac:dyDescent="0.25">
      <c r="A114" s="321"/>
      <c r="B114" s="322"/>
      <c r="C114" s="63" t="s">
        <v>8</v>
      </c>
      <c r="D114" s="96">
        <f>'2023 ACCRUAL'!AE119</f>
        <v>0</v>
      </c>
      <c r="E114" s="64">
        <v>5</v>
      </c>
      <c r="F114" s="117"/>
      <c r="G114" s="68"/>
      <c r="H114" s="70"/>
      <c r="I114" s="70"/>
      <c r="J114" s="70"/>
      <c r="K114" s="70"/>
      <c r="L114" s="70"/>
      <c r="M114" s="70">
        <f t="shared" si="403"/>
        <v>0.41666666666666669</v>
      </c>
      <c r="N114" s="70"/>
      <c r="O114" s="70">
        <f t="shared" si="404"/>
        <v>0.83333333333333337</v>
      </c>
      <c r="P114" s="70"/>
      <c r="Q114" s="70">
        <f t="shared" si="405"/>
        <v>1.25</v>
      </c>
      <c r="R114" s="70"/>
      <c r="S114" s="70">
        <f t="shared" si="406"/>
        <v>1.6666666666666667</v>
      </c>
      <c r="T114" s="70"/>
      <c r="U114" s="70">
        <f t="shared" si="407"/>
        <v>2.0833333333333335</v>
      </c>
      <c r="V114" s="70"/>
      <c r="W114" s="104">
        <f t="shared" si="408"/>
        <v>2.5</v>
      </c>
      <c r="X114" s="104"/>
      <c r="Y114" s="104">
        <f t="shared" si="409"/>
        <v>2.9166666666666665</v>
      </c>
      <c r="Z114" s="104"/>
      <c r="AA114" s="104">
        <f t="shared" si="410"/>
        <v>3.333333333333333</v>
      </c>
      <c r="AB114" s="104"/>
      <c r="AC114" s="104">
        <f t="shared" si="411"/>
        <v>3.7499999999999996</v>
      </c>
      <c r="AD114" s="103" t="s">
        <v>144</v>
      </c>
      <c r="AE114" s="105">
        <f t="shared" ref="AE114" si="412">AC114</f>
        <v>3.7499999999999996</v>
      </c>
    </row>
    <row r="115" spans="1:31" x14ac:dyDescent="0.25">
      <c r="A115" s="113"/>
      <c r="B115" s="113"/>
      <c r="D115" s="114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109"/>
      <c r="X115" s="109"/>
      <c r="Y115" s="109"/>
      <c r="Z115" s="109"/>
      <c r="AA115" s="109"/>
      <c r="AB115" s="109"/>
      <c r="AC115" s="109"/>
      <c r="AD115" s="115"/>
      <c r="AE115" s="115"/>
    </row>
    <row r="116" spans="1:31" s="67" customFormat="1" x14ac:dyDescent="0.25">
      <c r="D116" s="124">
        <f>SUM(D3:D83)</f>
        <v>266.34666666666675</v>
      </c>
      <c r="E116" s="83"/>
      <c r="F116" s="84">
        <f t="shared" ref="F116:AC116" si="413">SUM(F3:F83)</f>
        <v>62</v>
      </c>
      <c r="G116" s="84">
        <f t="shared" si="413"/>
        <v>249.34666666666666</v>
      </c>
      <c r="H116" s="84">
        <f t="shared" si="413"/>
        <v>23</v>
      </c>
      <c r="I116" s="84">
        <f t="shared" si="413"/>
        <v>271.34666666666669</v>
      </c>
      <c r="J116" s="84">
        <f t="shared" si="413"/>
        <v>12</v>
      </c>
      <c r="K116" s="84">
        <f t="shared" si="413"/>
        <v>304.34666666666675</v>
      </c>
      <c r="L116" s="84">
        <f t="shared" si="413"/>
        <v>15</v>
      </c>
      <c r="M116" s="84">
        <f t="shared" si="413"/>
        <v>334.34666666666652</v>
      </c>
      <c r="N116" s="84">
        <f t="shared" si="413"/>
        <v>40</v>
      </c>
      <c r="O116" s="84">
        <f t="shared" si="413"/>
        <v>339.34666666666681</v>
      </c>
      <c r="P116" s="84">
        <f t="shared" si="413"/>
        <v>40.5</v>
      </c>
      <c r="Q116" s="84">
        <f t="shared" si="413"/>
        <v>350.84666666666669</v>
      </c>
      <c r="R116" s="84">
        <f t="shared" si="413"/>
        <v>35</v>
      </c>
      <c r="S116" s="84">
        <f t="shared" si="413"/>
        <v>360.84666666666658</v>
      </c>
      <c r="T116" s="84">
        <f t="shared" si="413"/>
        <v>18</v>
      </c>
      <c r="U116" s="84">
        <f t="shared" si="413"/>
        <v>388.43000000000006</v>
      </c>
      <c r="V116" s="84">
        <f t="shared" si="413"/>
        <v>31.5</v>
      </c>
      <c r="W116" s="106">
        <f t="shared" si="413"/>
        <v>402.51333333333332</v>
      </c>
      <c r="X116" s="84">
        <f t="shared" si="413"/>
        <v>0</v>
      </c>
      <c r="Y116" s="106">
        <f t="shared" si="413"/>
        <v>448.09666666666664</v>
      </c>
      <c r="Z116" s="84">
        <f t="shared" si="413"/>
        <v>0</v>
      </c>
      <c r="AA116" s="106">
        <f t="shared" si="413"/>
        <v>493.68000000000012</v>
      </c>
      <c r="AB116" s="84">
        <f t="shared" si="413"/>
        <v>0</v>
      </c>
      <c r="AC116" s="106">
        <f t="shared" si="413"/>
        <v>539.26333333333332</v>
      </c>
      <c r="AD116" s="107"/>
      <c r="AE116" s="106">
        <f>SUM(AE3:AE83)</f>
        <v>539.26333333333332</v>
      </c>
    </row>
    <row r="117" spans="1:31" x14ac:dyDescent="0.25">
      <c r="F117" s="61"/>
      <c r="H117" s="61"/>
      <c r="J117" s="61"/>
      <c r="L117" s="61"/>
      <c r="N117" s="61"/>
      <c r="P117" s="61"/>
      <c r="R117" s="61"/>
      <c r="T117" s="61"/>
      <c r="V117" s="61"/>
      <c r="W117" s="108"/>
      <c r="X117" s="108"/>
      <c r="Y117" s="108"/>
      <c r="Z117" s="108"/>
      <c r="AA117" s="108"/>
      <c r="AB117" s="108"/>
      <c r="AC117" s="108"/>
      <c r="AD117" s="108"/>
      <c r="AE117" s="108"/>
    </row>
    <row r="118" spans="1:31" x14ac:dyDescent="0.25">
      <c r="F118" s="61"/>
      <c r="G118" s="82"/>
      <c r="H118" s="61"/>
      <c r="I118" s="82"/>
      <c r="J118" s="61"/>
      <c r="K118" s="82"/>
      <c r="L118" s="61"/>
      <c r="M118" s="82"/>
      <c r="N118" s="61"/>
      <c r="O118" s="82"/>
      <c r="P118" s="61"/>
      <c r="Q118" s="82"/>
      <c r="R118" s="61"/>
      <c r="S118" s="82"/>
      <c r="T118" s="61"/>
      <c r="U118" s="82"/>
      <c r="V118" s="61"/>
      <c r="W118" s="109"/>
      <c r="X118" s="108"/>
      <c r="Y118" s="109"/>
      <c r="Z118" s="108"/>
      <c r="AA118" s="109"/>
      <c r="AB118" s="108"/>
      <c r="AC118" s="109"/>
      <c r="AD118" s="108"/>
      <c r="AE118" s="109"/>
    </row>
    <row r="119" spans="1:31" x14ac:dyDescent="0.25">
      <c r="F119" s="61"/>
      <c r="H119" s="61"/>
      <c r="J119" s="61"/>
      <c r="L119" s="61"/>
      <c r="N119" s="61"/>
      <c r="P119" s="61"/>
      <c r="R119" s="61"/>
      <c r="T119" s="61"/>
      <c r="V119" s="61"/>
      <c r="W119" s="108"/>
      <c r="X119" s="108"/>
      <c r="Y119" s="108"/>
      <c r="Z119" s="108"/>
      <c r="AA119" s="108"/>
      <c r="AB119" s="108"/>
      <c r="AC119" s="108"/>
      <c r="AD119" s="108"/>
      <c r="AE119" s="108"/>
    </row>
    <row r="120" spans="1:31" x14ac:dyDescent="0.25">
      <c r="F120" s="61"/>
      <c r="H120" s="61"/>
      <c r="J120" s="61"/>
      <c r="L120" s="61"/>
      <c r="N120" s="61"/>
      <c r="P120" s="61"/>
      <c r="R120" s="61"/>
      <c r="T120" s="61"/>
      <c r="V120" s="61"/>
      <c r="W120" s="108"/>
      <c r="X120" s="108"/>
      <c r="Y120" s="108"/>
      <c r="Z120" s="108"/>
      <c r="AA120" s="108"/>
      <c r="AB120" s="108"/>
      <c r="AC120" s="108"/>
      <c r="AD120" s="108"/>
      <c r="AE120" s="108"/>
    </row>
    <row r="121" spans="1:31" x14ac:dyDescent="0.25">
      <c r="F121" s="61"/>
      <c r="H121" s="61"/>
      <c r="J121" s="61"/>
      <c r="L121" s="61"/>
      <c r="N121" s="61"/>
      <c r="P121" s="61"/>
      <c r="R121" s="61"/>
      <c r="T121" s="61"/>
      <c r="V121" s="61"/>
      <c r="W121" s="108"/>
      <c r="X121" s="108"/>
      <c r="Y121" s="108"/>
      <c r="Z121" s="108"/>
      <c r="AA121" s="108"/>
      <c r="AB121" s="108"/>
      <c r="AC121" s="108"/>
      <c r="AD121" s="108"/>
      <c r="AE121" s="108"/>
    </row>
    <row r="122" spans="1:31" x14ac:dyDescent="0.25">
      <c r="F122" s="61"/>
      <c r="H122" s="61"/>
      <c r="J122" s="61"/>
      <c r="L122" s="61"/>
      <c r="N122" s="61"/>
      <c r="P122" s="61"/>
      <c r="R122" s="61"/>
      <c r="T122" s="61"/>
      <c r="V122" s="61"/>
      <c r="W122" s="108"/>
      <c r="X122" s="108"/>
      <c r="Y122" s="108"/>
      <c r="Z122" s="108"/>
      <c r="AA122" s="108"/>
      <c r="AB122" s="108"/>
      <c r="AC122" s="108"/>
      <c r="AD122" s="108"/>
      <c r="AE122" s="108"/>
    </row>
    <row r="123" spans="1:31" x14ac:dyDescent="0.25">
      <c r="F123" s="61"/>
      <c r="H123" s="61"/>
      <c r="J123" s="61"/>
      <c r="L123" s="61"/>
      <c r="N123" s="61"/>
      <c r="P123" s="61"/>
      <c r="R123" s="61"/>
      <c r="T123" s="61"/>
      <c r="V123" s="61"/>
      <c r="W123" s="108"/>
      <c r="X123" s="108"/>
      <c r="Y123" s="108"/>
      <c r="Z123" s="108"/>
      <c r="AA123" s="108"/>
      <c r="AB123" s="108"/>
      <c r="AC123" s="108"/>
      <c r="AD123" s="108"/>
      <c r="AE123" s="108"/>
    </row>
    <row r="124" spans="1:31" x14ac:dyDescent="0.25">
      <c r="F124" s="61"/>
      <c r="H124" s="61"/>
      <c r="J124" s="61"/>
      <c r="L124" s="61"/>
      <c r="N124" s="61"/>
      <c r="P124" s="61"/>
      <c r="R124" s="61"/>
      <c r="T124" s="61"/>
      <c r="V124" s="61"/>
      <c r="W124" s="108"/>
      <c r="X124" s="108"/>
      <c r="Y124" s="108"/>
      <c r="Z124" s="108"/>
      <c r="AA124" s="108"/>
      <c r="AB124" s="108"/>
      <c r="AC124" s="108"/>
      <c r="AD124" s="108"/>
      <c r="AE124" s="108"/>
    </row>
    <row r="125" spans="1:31" x14ac:dyDescent="0.25">
      <c r="F125" s="61"/>
      <c r="H125" s="61"/>
      <c r="J125" s="61"/>
      <c r="L125" s="61"/>
      <c r="N125" s="61"/>
      <c r="P125" s="61"/>
      <c r="R125" s="61"/>
      <c r="T125" s="61"/>
      <c r="V125" s="61"/>
      <c r="W125" s="108"/>
      <c r="X125" s="108"/>
      <c r="Y125" s="108"/>
      <c r="Z125" s="108"/>
      <c r="AA125" s="108"/>
      <c r="AB125" s="108"/>
      <c r="AC125" s="108"/>
      <c r="AD125" s="108"/>
      <c r="AE125" s="108"/>
    </row>
    <row r="126" spans="1:31" x14ac:dyDescent="0.25">
      <c r="F126" s="61"/>
      <c r="H126" s="61"/>
      <c r="J126" s="61"/>
      <c r="L126" s="61"/>
      <c r="N126" s="61"/>
      <c r="P126" s="61"/>
      <c r="R126" s="61"/>
      <c r="T126" s="61"/>
      <c r="V126" s="61"/>
      <c r="W126" s="108"/>
      <c r="X126" s="108"/>
      <c r="Y126" s="108"/>
      <c r="Z126" s="108"/>
      <c r="AA126" s="108"/>
      <c r="AB126" s="108"/>
      <c r="AC126" s="108"/>
      <c r="AD126" s="108"/>
      <c r="AE126" s="108"/>
    </row>
    <row r="127" spans="1:31" x14ac:dyDescent="0.25">
      <c r="F127" s="61"/>
      <c r="H127" s="61"/>
      <c r="J127" s="61"/>
      <c r="L127" s="61"/>
      <c r="N127" s="61"/>
      <c r="P127" s="61"/>
      <c r="R127" s="61"/>
      <c r="T127" s="61"/>
      <c r="V127" s="61"/>
      <c r="W127" s="108"/>
      <c r="X127" s="108"/>
      <c r="Y127" s="108"/>
      <c r="Z127" s="108"/>
      <c r="AA127" s="108"/>
      <c r="AB127" s="108"/>
      <c r="AC127" s="108"/>
      <c r="AD127" s="108"/>
      <c r="AE127" s="108"/>
    </row>
    <row r="128" spans="1:31" x14ac:dyDescent="0.25">
      <c r="F128" s="61"/>
      <c r="H128" s="61"/>
      <c r="J128" s="61"/>
      <c r="L128" s="61"/>
      <c r="N128" s="61"/>
      <c r="P128" s="61"/>
      <c r="R128" s="61"/>
      <c r="T128" s="61"/>
      <c r="V128" s="61"/>
      <c r="W128" s="108"/>
      <c r="X128" s="108"/>
      <c r="Y128" s="108"/>
      <c r="Z128" s="108"/>
      <c r="AA128" s="108"/>
      <c r="AB128" s="108"/>
      <c r="AC128" s="108"/>
      <c r="AD128" s="108"/>
      <c r="AE128" s="108"/>
    </row>
    <row r="129" spans="6:26" x14ac:dyDescent="0.25">
      <c r="F129" s="61"/>
      <c r="H129" s="61"/>
      <c r="J129" s="61"/>
      <c r="L129" s="61"/>
      <c r="N129" s="61"/>
      <c r="P129" s="61"/>
      <c r="R129" s="61"/>
      <c r="T129" s="61"/>
      <c r="V129" s="61"/>
      <c r="X129" s="61"/>
      <c r="Z129" s="61"/>
    </row>
    <row r="130" spans="6:26" x14ac:dyDescent="0.25">
      <c r="F130" s="61"/>
      <c r="H130" s="61"/>
      <c r="J130" s="61"/>
      <c r="L130" s="61"/>
      <c r="N130" s="61"/>
      <c r="P130" s="61"/>
      <c r="R130" s="61"/>
      <c r="T130" s="61"/>
      <c r="V130" s="61"/>
      <c r="X130" s="61"/>
      <c r="Z130" s="61"/>
    </row>
    <row r="131" spans="6:26" x14ac:dyDescent="0.25">
      <c r="F131" s="61"/>
      <c r="H131" s="61"/>
      <c r="J131" s="61"/>
      <c r="L131" s="61"/>
      <c r="N131" s="61"/>
      <c r="P131" s="61"/>
      <c r="R131" s="61"/>
      <c r="T131" s="61"/>
      <c r="V131" s="61"/>
      <c r="X131" s="61"/>
      <c r="Z131" s="61"/>
    </row>
    <row r="132" spans="6:26" x14ac:dyDescent="0.25">
      <c r="F132" s="61"/>
      <c r="H132" s="61"/>
      <c r="J132" s="61"/>
      <c r="L132" s="61"/>
      <c r="N132" s="61"/>
      <c r="P132" s="61"/>
      <c r="R132" s="61"/>
      <c r="T132" s="61"/>
      <c r="V132" s="61"/>
      <c r="X132" s="61"/>
      <c r="Z132" s="61"/>
    </row>
    <row r="133" spans="6:26" x14ac:dyDescent="0.25">
      <c r="F133" s="61"/>
      <c r="H133" s="61"/>
      <c r="J133" s="61"/>
      <c r="L133" s="61"/>
      <c r="N133" s="61"/>
      <c r="P133" s="61"/>
      <c r="R133" s="61"/>
      <c r="T133" s="61"/>
      <c r="V133" s="61"/>
      <c r="X133" s="61"/>
      <c r="Z133" s="61"/>
    </row>
    <row r="134" spans="6:26" x14ac:dyDescent="0.25">
      <c r="F134" s="61"/>
      <c r="H134" s="61"/>
      <c r="J134" s="61"/>
      <c r="L134" s="61"/>
      <c r="N134" s="61"/>
      <c r="P134" s="61"/>
      <c r="R134" s="61"/>
      <c r="T134" s="61"/>
      <c r="V134" s="61"/>
      <c r="X134" s="61"/>
      <c r="Z134" s="61"/>
    </row>
    <row r="135" spans="6:26" x14ac:dyDescent="0.25">
      <c r="F135" s="61"/>
      <c r="H135" s="61"/>
      <c r="J135" s="61"/>
      <c r="L135" s="61"/>
      <c r="N135" s="61"/>
      <c r="P135" s="61"/>
      <c r="R135" s="61"/>
      <c r="T135" s="61"/>
      <c r="V135" s="61"/>
      <c r="X135" s="61"/>
      <c r="Z135" s="61"/>
    </row>
    <row r="136" spans="6:26" x14ac:dyDescent="0.25">
      <c r="F136" s="61"/>
      <c r="H136" s="61"/>
      <c r="J136" s="61"/>
      <c r="L136" s="61"/>
      <c r="N136" s="61"/>
      <c r="P136" s="61"/>
      <c r="R136" s="61"/>
      <c r="T136" s="61"/>
      <c r="V136" s="61"/>
      <c r="X136" s="61"/>
      <c r="Z136" s="61"/>
    </row>
    <row r="137" spans="6:26" x14ac:dyDescent="0.25">
      <c r="F137" s="61"/>
      <c r="H137" s="61"/>
      <c r="J137" s="61"/>
      <c r="L137" s="61"/>
      <c r="N137" s="61"/>
      <c r="P137" s="61"/>
      <c r="R137" s="61"/>
      <c r="T137" s="61"/>
      <c r="V137" s="61"/>
      <c r="X137" s="61"/>
      <c r="Z137" s="61"/>
    </row>
    <row r="138" spans="6:26" x14ac:dyDescent="0.25">
      <c r="F138" s="61"/>
      <c r="H138" s="61"/>
      <c r="J138" s="61"/>
      <c r="L138" s="61"/>
      <c r="N138" s="61"/>
      <c r="P138" s="61"/>
      <c r="R138" s="61"/>
      <c r="T138" s="61"/>
      <c r="V138" s="61"/>
      <c r="X138" s="61"/>
      <c r="Z138" s="61"/>
    </row>
    <row r="139" spans="6:26" x14ac:dyDescent="0.25">
      <c r="F139" s="61"/>
      <c r="H139" s="61"/>
      <c r="J139" s="61"/>
      <c r="L139" s="61"/>
      <c r="N139" s="61"/>
      <c r="P139" s="61"/>
      <c r="R139" s="61"/>
      <c r="T139" s="61"/>
      <c r="V139" s="61"/>
      <c r="X139" s="61"/>
      <c r="Z139" s="61"/>
    </row>
    <row r="140" spans="6:26" x14ac:dyDescent="0.25">
      <c r="F140" s="61"/>
      <c r="H140" s="61"/>
      <c r="J140" s="61"/>
      <c r="L140" s="61"/>
      <c r="N140" s="61"/>
      <c r="P140" s="61"/>
      <c r="R140" s="61"/>
      <c r="T140" s="61"/>
      <c r="V140" s="61"/>
      <c r="X140" s="61"/>
      <c r="Z140" s="61"/>
    </row>
    <row r="141" spans="6:26" x14ac:dyDescent="0.25">
      <c r="F141" s="61"/>
      <c r="H141" s="61"/>
      <c r="J141" s="61"/>
      <c r="L141" s="61"/>
      <c r="N141" s="61"/>
      <c r="P141" s="61"/>
      <c r="R141" s="61"/>
      <c r="T141" s="61"/>
      <c r="V141" s="61"/>
      <c r="X141" s="61"/>
      <c r="Z141" s="61"/>
    </row>
    <row r="142" spans="6:26" x14ac:dyDescent="0.25">
      <c r="F142" s="61"/>
      <c r="H142" s="61"/>
      <c r="J142" s="61"/>
      <c r="L142" s="61"/>
      <c r="N142" s="61"/>
      <c r="P142" s="61"/>
      <c r="R142" s="61"/>
      <c r="T142" s="61"/>
      <c r="V142" s="61"/>
      <c r="X142" s="61"/>
      <c r="Z142" s="61"/>
    </row>
    <row r="143" spans="6:26" x14ac:dyDescent="0.25">
      <c r="F143" s="61"/>
      <c r="H143" s="61"/>
      <c r="J143" s="61"/>
      <c r="L143" s="61"/>
      <c r="N143" s="61"/>
      <c r="P143" s="61"/>
      <c r="R143" s="61"/>
      <c r="T143" s="61"/>
      <c r="V143" s="61"/>
      <c r="X143" s="61"/>
      <c r="Z143" s="61"/>
    </row>
    <row r="144" spans="6:26" x14ac:dyDescent="0.25">
      <c r="F144" s="61"/>
      <c r="H144" s="61"/>
      <c r="J144" s="61"/>
      <c r="L144" s="61"/>
      <c r="N144" s="61"/>
      <c r="P144" s="61"/>
      <c r="R144" s="61"/>
      <c r="T144" s="61"/>
      <c r="V144" s="61"/>
      <c r="X144" s="61"/>
      <c r="Z144" s="61"/>
    </row>
    <row r="145" spans="6:26" x14ac:dyDescent="0.25">
      <c r="F145" s="61"/>
      <c r="H145" s="61"/>
      <c r="J145" s="61"/>
      <c r="L145" s="61"/>
      <c r="N145" s="61"/>
      <c r="P145" s="61"/>
      <c r="R145" s="61"/>
      <c r="T145" s="61"/>
      <c r="V145" s="61"/>
      <c r="X145" s="61"/>
      <c r="Z145" s="61"/>
    </row>
    <row r="146" spans="6:26" x14ac:dyDescent="0.25">
      <c r="F146" s="61"/>
      <c r="H146" s="61"/>
      <c r="J146" s="61"/>
      <c r="L146" s="61"/>
      <c r="N146" s="61"/>
      <c r="P146" s="61"/>
      <c r="R146" s="61"/>
      <c r="T146" s="61"/>
      <c r="V146" s="61"/>
      <c r="X146" s="61"/>
      <c r="Z146" s="61"/>
    </row>
    <row r="147" spans="6:26" x14ac:dyDescent="0.25">
      <c r="F147" s="61"/>
      <c r="H147" s="61"/>
      <c r="J147" s="61"/>
      <c r="L147" s="61"/>
      <c r="N147" s="61"/>
      <c r="P147" s="61"/>
      <c r="R147" s="61"/>
      <c r="T147" s="61"/>
      <c r="V147" s="61"/>
      <c r="X147" s="61"/>
      <c r="Z147" s="61"/>
    </row>
    <row r="148" spans="6:26" x14ac:dyDescent="0.25">
      <c r="F148" s="61"/>
      <c r="H148" s="61"/>
      <c r="J148" s="61"/>
      <c r="L148" s="61"/>
      <c r="N148" s="61"/>
      <c r="P148" s="61"/>
      <c r="R148" s="61"/>
      <c r="T148" s="61"/>
      <c r="V148" s="61"/>
      <c r="X148" s="61"/>
      <c r="Z148" s="61"/>
    </row>
    <row r="149" spans="6:26" x14ac:dyDescent="0.25">
      <c r="F149" s="61"/>
      <c r="H149" s="61"/>
      <c r="J149" s="61"/>
      <c r="L149" s="61"/>
      <c r="N149" s="61"/>
      <c r="P149" s="61"/>
      <c r="R149" s="61"/>
      <c r="T149" s="61"/>
      <c r="V149" s="61"/>
      <c r="X149" s="61"/>
      <c r="Z149" s="61"/>
    </row>
    <row r="150" spans="6:26" x14ac:dyDescent="0.25">
      <c r="F150" s="61"/>
      <c r="H150" s="61"/>
      <c r="J150" s="61"/>
      <c r="L150" s="61"/>
      <c r="N150" s="61"/>
      <c r="P150" s="61"/>
      <c r="R150" s="61"/>
      <c r="T150" s="61"/>
      <c r="V150" s="61"/>
      <c r="X150" s="61"/>
      <c r="Z150" s="61"/>
    </row>
    <row r="151" spans="6:26" x14ac:dyDescent="0.25">
      <c r="F151" s="61"/>
      <c r="H151" s="61"/>
      <c r="J151" s="61"/>
      <c r="L151" s="61"/>
      <c r="N151" s="61"/>
      <c r="P151" s="61"/>
      <c r="R151" s="61"/>
      <c r="T151" s="61"/>
      <c r="V151" s="61"/>
      <c r="X151" s="61"/>
      <c r="Z151" s="61"/>
    </row>
    <row r="152" spans="6:26" x14ac:dyDescent="0.25">
      <c r="F152" s="61"/>
      <c r="H152" s="61"/>
      <c r="J152" s="61"/>
      <c r="L152" s="61"/>
      <c r="N152" s="61"/>
      <c r="P152" s="61"/>
      <c r="R152" s="61"/>
      <c r="T152" s="61"/>
      <c r="V152" s="61"/>
      <c r="X152" s="61"/>
      <c r="Z152" s="61"/>
    </row>
    <row r="153" spans="6:26" x14ac:dyDescent="0.25">
      <c r="F153" s="61"/>
      <c r="H153" s="61"/>
      <c r="J153" s="61"/>
      <c r="L153" s="61"/>
      <c r="N153" s="61"/>
      <c r="P153" s="61"/>
      <c r="R153" s="61"/>
      <c r="T153" s="61"/>
      <c r="V153" s="61"/>
      <c r="X153" s="61"/>
      <c r="Z153" s="61"/>
    </row>
    <row r="154" spans="6:26" x14ac:dyDescent="0.25">
      <c r="F154" s="61"/>
      <c r="H154" s="61"/>
      <c r="J154" s="61"/>
      <c r="L154" s="61"/>
      <c r="N154" s="61"/>
      <c r="P154" s="61"/>
      <c r="R154" s="61"/>
      <c r="T154" s="61"/>
      <c r="V154" s="61"/>
      <c r="X154" s="61"/>
      <c r="Z154" s="61"/>
    </row>
    <row r="155" spans="6:26" x14ac:dyDescent="0.25">
      <c r="F155" s="61"/>
      <c r="H155" s="61"/>
      <c r="J155" s="61"/>
      <c r="L155" s="61"/>
      <c r="N155" s="61"/>
      <c r="P155" s="61"/>
      <c r="R155" s="61"/>
      <c r="T155" s="61"/>
      <c r="V155" s="61"/>
      <c r="X155" s="61"/>
      <c r="Z155" s="61"/>
    </row>
    <row r="156" spans="6:26" x14ac:dyDescent="0.25">
      <c r="F156" s="61"/>
      <c r="H156" s="61"/>
      <c r="J156" s="61"/>
      <c r="L156" s="61"/>
      <c r="N156" s="61"/>
      <c r="P156" s="61"/>
      <c r="R156" s="61"/>
      <c r="T156" s="61"/>
      <c r="V156" s="61"/>
      <c r="X156" s="61"/>
      <c r="Z156" s="61"/>
    </row>
    <row r="157" spans="6:26" x14ac:dyDescent="0.25">
      <c r="F157" s="61"/>
      <c r="H157" s="61"/>
      <c r="J157" s="61"/>
      <c r="L157" s="61"/>
      <c r="N157" s="61"/>
      <c r="P157" s="61"/>
      <c r="R157" s="61"/>
      <c r="T157" s="61"/>
      <c r="V157" s="61"/>
      <c r="X157" s="61"/>
      <c r="Z157" s="61"/>
    </row>
    <row r="158" spans="6:26" x14ac:dyDescent="0.25">
      <c r="F158" s="61"/>
      <c r="H158" s="61"/>
      <c r="J158" s="61"/>
      <c r="L158" s="61"/>
      <c r="N158" s="61"/>
      <c r="P158" s="61"/>
      <c r="R158" s="61"/>
      <c r="T158" s="61"/>
      <c r="V158" s="61"/>
      <c r="X158" s="61"/>
      <c r="Z158" s="61"/>
    </row>
    <row r="159" spans="6:26" x14ac:dyDescent="0.25">
      <c r="F159" s="61"/>
      <c r="H159" s="61"/>
      <c r="J159" s="61"/>
      <c r="L159" s="61"/>
      <c r="N159" s="61"/>
      <c r="P159" s="61"/>
      <c r="R159" s="61"/>
      <c r="T159" s="61"/>
      <c r="V159" s="61"/>
      <c r="X159" s="61"/>
      <c r="Z159" s="61"/>
    </row>
    <row r="160" spans="6:26" x14ac:dyDescent="0.25">
      <c r="F160" s="61"/>
      <c r="H160" s="61"/>
      <c r="J160" s="61"/>
      <c r="L160" s="61"/>
      <c r="N160" s="61"/>
      <c r="P160" s="61"/>
      <c r="R160" s="61"/>
      <c r="T160" s="61"/>
      <c r="V160" s="61"/>
      <c r="X160" s="61"/>
      <c r="Z160" s="61"/>
    </row>
    <row r="161" spans="6:26" x14ac:dyDescent="0.25">
      <c r="F161" s="61"/>
      <c r="H161" s="61"/>
      <c r="J161" s="61"/>
      <c r="L161" s="61"/>
      <c r="N161" s="61"/>
      <c r="P161" s="61"/>
      <c r="R161" s="61"/>
      <c r="T161" s="61"/>
      <c r="V161" s="61"/>
      <c r="X161" s="61"/>
      <c r="Z161" s="61"/>
    </row>
    <row r="162" spans="6:26" x14ac:dyDescent="0.25">
      <c r="F162" s="61"/>
      <c r="H162" s="61"/>
      <c r="J162" s="61"/>
      <c r="L162" s="61"/>
      <c r="N162" s="61"/>
      <c r="P162" s="61"/>
      <c r="R162" s="61"/>
      <c r="T162" s="61"/>
      <c r="V162" s="61"/>
      <c r="X162" s="61"/>
      <c r="Z162" s="61"/>
    </row>
    <row r="163" spans="6:26" x14ac:dyDescent="0.25">
      <c r="F163" s="61"/>
      <c r="H163" s="61"/>
      <c r="J163" s="61"/>
      <c r="L163" s="61"/>
      <c r="N163" s="61"/>
      <c r="P163" s="61"/>
      <c r="R163" s="61"/>
      <c r="T163" s="61"/>
      <c r="V163" s="61"/>
      <c r="X163" s="61"/>
      <c r="Z163" s="61"/>
    </row>
    <row r="164" spans="6:26" x14ac:dyDescent="0.25">
      <c r="F164" s="61"/>
      <c r="H164" s="61"/>
      <c r="J164" s="61"/>
      <c r="L164" s="61"/>
      <c r="N164" s="61"/>
      <c r="P164" s="61"/>
      <c r="R164" s="61"/>
      <c r="T164" s="61"/>
      <c r="V164" s="61"/>
      <c r="X164" s="61"/>
      <c r="Z164" s="61"/>
    </row>
    <row r="165" spans="6:26" x14ac:dyDescent="0.25">
      <c r="F165" s="61"/>
      <c r="H165" s="61"/>
      <c r="J165" s="61"/>
      <c r="L165" s="61"/>
      <c r="N165" s="61"/>
      <c r="P165" s="61"/>
      <c r="R165" s="61"/>
      <c r="T165" s="61"/>
      <c r="V165" s="61"/>
      <c r="X165" s="61"/>
      <c r="Z165" s="61"/>
    </row>
    <row r="166" spans="6:26" x14ac:dyDescent="0.25">
      <c r="F166" s="61"/>
      <c r="H166" s="61"/>
      <c r="J166" s="61"/>
      <c r="L166" s="61"/>
      <c r="N166" s="61"/>
      <c r="P166" s="61"/>
      <c r="R166" s="61"/>
      <c r="T166" s="61"/>
      <c r="V166" s="61"/>
      <c r="X166" s="61"/>
      <c r="Z166" s="61"/>
    </row>
    <row r="167" spans="6:26" x14ac:dyDescent="0.25">
      <c r="F167" s="61"/>
      <c r="H167" s="61"/>
      <c r="J167" s="61"/>
      <c r="L167" s="61"/>
      <c r="N167" s="61"/>
      <c r="P167" s="61"/>
      <c r="R167" s="61"/>
      <c r="T167" s="61"/>
      <c r="V167" s="61"/>
      <c r="X167" s="61"/>
      <c r="Z167" s="61"/>
    </row>
    <row r="168" spans="6:26" x14ac:dyDescent="0.25">
      <c r="F168" s="61"/>
      <c r="H168" s="61"/>
      <c r="J168" s="61"/>
      <c r="L168" s="61"/>
      <c r="N168" s="61"/>
      <c r="P168" s="61"/>
      <c r="R168" s="61"/>
      <c r="T168" s="61"/>
      <c r="V168" s="61"/>
      <c r="X168" s="61"/>
      <c r="Z168" s="61"/>
    </row>
    <row r="169" spans="6:26" x14ac:dyDescent="0.25">
      <c r="F169" s="61"/>
      <c r="H169" s="61"/>
      <c r="J169" s="61"/>
      <c r="L169" s="61"/>
      <c r="N169" s="61"/>
      <c r="P169" s="61"/>
      <c r="R169" s="61"/>
      <c r="T169" s="61"/>
      <c r="V169" s="61"/>
      <c r="X169" s="61"/>
      <c r="Z169" s="61"/>
    </row>
    <row r="170" spans="6:26" x14ac:dyDescent="0.25">
      <c r="F170" s="61"/>
      <c r="H170" s="61"/>
      <c r="J170" s="61"/>
      <c r="L170" s="61"/>
      <c r="N170" s="61"/>
      <c r="P170" s="61"/>
      <c r="R170" s="61"/>
      <c r="T170" s="61"/>
      <c r="V170" s="61"/>
      <c r="X170" s="61"/>
      <c r="Z170" s="61"/>
    </row>
    <row r="171" spans="6:26" x14ac:dyDescent="0.25">
      <c r="F171" s="61"/>
      <c r="H171" s="61"/>
      <c r="J171" s="61"/>
      <c r="L171" s="61"/>
      <c r="N171" s="61"/>
      <c r="P171" s="61"/>
      <c r="R171" s="61"/>
      <c r="T171" s="61"/>
      <c r="V171" s="61"/>
      <c r="X171" s="61"/>
      <c r="Z171" s="61"/>
    </row>
    <row r="172" spans="6:26" x14ac:dyDescent="0.25">
      <c r="F172" s="61"/>
      <c r="H172" s="61"/>
      <c r="J172" s="61"/>
      <c r="L172" s="61"/>
      <c r="N172" s="61"/>
      <c r="P172" s="61"/>
      <c r="R172" s="61"/>
      <c r="T172" s="61"/>
      <c r="V172" s="61"/>
      <c r="X172" s="61"/>
      <c r="Z172" s="61"/>
    </row>
    <row r="173" spans="6:26" x14ac:dyDescent="0.25">
      <c r="F173" s="61"/>
      <c r="H173" s="61"/>
      <c r="J173" s="61"/>
      <c r="L173" s="61"/>
      <c r="N173" s="61"/>
      <c r="P173" s="61"/>
      <c r="R173" s="61"/>
      <c r="T173" s="61"/>
      <c r="V173" s="61"/>
      <c r="X173" s="61"/>
      <c r="Z173" s="61"/>
    </row>
    <row r="174" spans="6:26" x14ac:dyDescent="0.25">
      <c r="F174" s="61"/>
      <c r="H174" s="61"/>
      <c r="J174" s="61"/>
      <c r="L174" s="61"/>
      <c r="N174" s="61"/>
      <c r="P174" s="61"/>
      <c r="R174" s="61"/>
      <c r="T174" s="61"/>
      <c r="V174" s="61"/>
      <c r="X174" s="61"/>
      <c r="Z174" s="61"/>
    </row>
    <row r="175" spans="6:26" x14ac:dyDescent="0.25">
      <c r="F175" s="61"/>
      <c r="H175" s="61"/>
      <c r="J175" s="61"/>
      <c r="L175" s="61"/>
      <c r="N175" s="61"/>
      <c r="P175" s="61"/>
      <c r="R175" s="61"/>
      <c r="T175" s="61"/>
      <c r="V175" s="61"/>
      <c r="X175" s="61"/>
      <c r="Z175" s="61"/>
    </row>
    <row r="176" spans="6:26" x14ac:dyDescent="0.25">
      <c r="F176" s="61"/>
      <c r="H176" s="61"/>
      <c r="J176" s="61"/>
      <c r="L176" s="61"/>
      <c r="N176" s="61"/>
      <c r="P176" s="61"/>
      <c r="R176" s="61"/>
      <c r="T176" s="61"/>
      <c r="V176" s="61"/>
      <c r="X176" s="61"/>
      <c r="Z176" s="61"/>
    </row>
    <row r="177" spans="6:26" x14ac:dyDescent="0.25">
      <c r="F177" s="61"/>
      <c r="H177" s="61"/>
      <c r="J177" s="61"/>
      <c r="L177" s="61"/>
      <c r="N177" s="61"/>
      <c r="P177" s="61"/>
      <c r="R177" s="61"/>
      <c r="T177" s="61"/>
      <c r="V177" s="61"/>
      <c r="X177" s="61"/>
      <c r="Z177" s="61"/>
    </row>
    <row r="178" spans="6:26" x14ac:dyDescent="0.25">
      <c r="F178" s="61"/>
      <c r="H178" s="61"/>
      <c r="J178" s="61"/>
      <c r="L178" s="61"/>
      <c r="N178" s="61"/>
      <c r="P178" s="61"/>
      <c r="R178" s="61"/>
      <c r="T178" s="61"/>
      <c r="V178" s="61"/>
      <c r="X178" s="61"/>
      <c r="Z178" s="61"/>
    </row>
    <row r="179" spans="6:26" x14ac:dyDescent="0.25">
      <c r="F179" s="61"/>
      <c r="H179" s="61"/>
      <c r="J179" s="61"/>
      <c r="L179" s="61"/>
      <c r="N179" s="61"/>
      <c r="P179" s="61"/>
      <c r="R179" s="61"/>
      <c r="T179" s="61"/>
      <c r="V179" s="61"/>
      <c r="X179" s="61"/>
      <c r="Z179" s="61"/>
    </row>
    <row r="180" spans="6:26" x14ac:dyDescent="0.25">
      <c r="F180" s="61"/>
      <c r="H180" s="61"/>
      <c r="J180" s="61"/>
      <c r="L180" s="61"/>
      <c r="N180" s="61"/>
      <c r="P180" s="61"/>
      <c r="R180" s="61"/>
      <c r="T180" s="61"/>
      <c r="V180" s="61"/>
      <c r="X180" s="61"/>
      <c r="Z180" s="61"/>
    </row>
    <row r="181" spans="6:26" x14ac:dyDescent="0.25">
      <c r="F181" s="61"/>
      <c r="H181" s="61"/>
      <c r="J181" s="61"/>
      <c r="L181" s="61"/>
      <c r="N181" s="61"/>
      <c r="P181" s="61"/>
      <c r="R181" s="61"/>
      <c r="T181" s="61"/>
      <c r="V181" s="61"/>
      <c r="X181" s="61"/>
      <c r="Z181" s="61"/>
    </row>
    <row r="182" spans="6:26" x14ac:dyDescent="0.25">
      <c r="F182" s="61"/>
      <c r="H182" s="61"/>
      <c r="J182" s="61"/>
      <c r="L182" s="61"/>
      <c r="N182" s="61"/>
      <c r="P182" s="61"/>
      <c r="R182" s="61"/>
      <c r="T182" s="61"/>
      <c r="V182" s="61"/>
      <c r="X182" s="61"/>
      <c r="Z182" s="61"/>
    </row>
    <row r="183" spans="6:26" x14ac:dyDescent="0.25">
      <c r="F183" s="61"/>
      <c r="H183" s="61"/>
      <c r="J183" s="61"/>
      <c r="L183" s="61"/>
      <c r="N183" s="61"/>
      <c r="P183" s="61"/>
      <c r="R183" s="61"/>
      <c r="T183" s="61"/>
      <c r="V183" s="61"/>
      <c r="X183" s="61"/>
      <c r="Z183" s="61"/>
    </row>
    <row r="184" spans="6:26" x14ac:dyDescent="0.25">
      <c r="F184" s="61"/>
      <c r="H184" s="61"/>
      <c r="J184" s="61"/>
      <c r="L184" s="61"/>
      <c r="N184" s="61"/>
      <c r="P184" s="61"/>
      <c r="R184" s="61"/>
      <c r="T184" s="61"/>
      <c r="V184" s="61"/>
      <c r="X184" s="61"/>
      <c r="Z184" s="61"/>
    </row>
    <row r="185" spans="6:26" x14ac:dyDescent="0.25">
      <c r="F185" s="61"/>
      <c r="H185" s="61"/>
      <c r="J185" s="61"/>
      <c r="L185" s="61"/>
      <c r="N185" s="61"/>
      <c r="P185" s="61"/>
      <c r="R185" s="61"/>
      <c r="T185" s="61"/>
      <c r="V185" s="61"/>
      <c r="X185" s="61"/>
      <c r="Z185" s="61"/>
    </row>
    <row r="186" spans="6:26" x14ac:dyDescent="0.25">
      <c r="F186" s="61"/>
      <c r="H186" s="61"/>
      <c r="J186" s="61"/>
      <c r="L186" s="61"/>
      <c r="N186" s="61"/>
      <c r="P186" s="61"/>
      <c r="R186" s="61"/>
      <c r="T186" s="61"/>
      <c r="V186" s="61"/>
      <c r="X186" s="61"/>
      <c r="Z186" s="61"/>
    </row>
    <row r="187" spans="6:26" x14ac:dyDescent="0.25">
      <c r="F187" s="61"/>
      <c r="H187" s="61"/>
      <c r="J187" s="61"/>
      <c r="L187" s="61"/>
      <c r="N187" s="61"/>
      <c r="P187" s="61"/>
      <c r="R187" s="61"/>
      <c r="T187" s="61"/>
      <c r="V187" s="61"/>
      <c r="X187" s="61"/>
      <c r="Z187" s="61"/>
    </row>
    <row r="188" spans="6:26" x14ac:dyDescent="0.25">
      <c r="F188" s="61"/>
      <c r="H188" s="61"/>
      <c r="J188" s="61"/>
      <c r="L188" s="61"/>
      <c r="N188" s="61"/>
      <c r="P188" s="61"/>
      <c r="R188" s="61"/>
      <c r="T188" s="61"/>
      <c r="V188" s="61"/>
      <c r="X188" s="61"/>
      <c r="Z188" s="61"/>
    </row>
    <row r="189" spans="6:26" x14ac:dyDescent="0.25">
      <c r="F189" s="61"/>
      <c r="H189" s="61"/>
      <c r="J189" s="61"/>
      <c r="L189" s="61"/>
      <c r="N189" s="61"/>
      <c r="P189" s="61"/>
      <c r="R189" s="61"/>
      <c r="T189" s="61"/>
      <c r="V189" s="61"/>
      <c r="X189" s="61"/>
      <c r="Z189" s="61"/>
    </row>
    <row r="190" spans="6:26" x14ac:dyDescent="0.25">
      <c r="F190" s="61"/>
      <c r="H190" s="61"/>
      <c r="J190" s="61"/>
      <c r="L190" s="61"/>
      <c r="N190" s="61"/>
      <c r="P190" s="61"/>
      <c r="R190" s="61"/>
      <c r="T190" s="61"/>
      <c r="V190" s="61"/>
      <c r="X190" s="61"/>
      <c r="Z190" s="61"/>
    </row>
    <row r="191" spans="6:26" x14ac:dyDescent="0.25">
      <c r="F191" s="61"/>
      <c r="H191" s="61"/>
      <c r="J191" s="61"/>
      <c r="L191" s="61"/>
      <c r="N191" s="61"/>
      <c r="P191" s="61"/>
      <c r="R191" s="61"/>
      <c r="T191" s="61"/>
      <c r="V191" s="61"/>
      <c r="X191" s="61"/>
      <c r="Z191" s="61"/>
    </row>
    <row r="192" spans="6:26" x14ac:dyDescent="0.25">
      <c r="F192" s="61"/>
      <c r="H192" s="61"/>
      <c r="J192" s="61"/>
      <c r="L192" s="61"/>
      <c r="N192" s="61"/>
      <c r="P192" s="61"/>
      <c r="R192" s="61"/>
      <c r="T192" s="61"/>
      <c r="V192" s="61"/>
      <c r="X192" s="61"/>
      <c r="Z192" s="61"/>
    </row>
    <row r="193" spans="6:26" x14ac:dyDescent="0.25">
      <c r="F193" s="61"/>
      <c r="H193" s="61"/>
      <c r="J193" s="61"/>
      <c r="L193" s="61"/>
      <c r="N193" s="61"/>
      <c r="P193" s="61"/>
      <c r="R193" s="61"/>
      <c r="T193" s="61"/>
      <c r="V193" s="61"/>
      <c r="X193" s="61"/>
      <c r="Z193" s="61"/>
    </row>
    <row r="194" spans="6:26" x14ac:dyDescent="0.25">
      <c r="F194" s="61"/>
      <c r="H194" s="61"/>
      <c r="J194" s="61"/>
      <c r="L194" s="61"/>
      <c r="N194" s="61"/>
      <c r="P194" s="61"/>
      <c r="R194" s="61"/>
      <c r="T194" s="61"/>
      <c r="V194" s="61"/>
      <c r="X194" s="61"/>
      <c r="Z194" s="61"/>
    </row>
    <row r="195" spans="6:26" x14ac:dyDescent="0.25">
      <c r="F195" s="61"/>
      <c r="H195" s="61"/>
      <c r="J195" s="61"/>
      <c r="L195" s="61"/>
      <c r="N195" s="61"/>
      <c r="P195" s="61"/>
      <c r="R195" s="61"/>
      <c r="T195" s="61"/>
      <c r="V195" s="61"/>
      <c r="X195" s="61"/>
      <c r="Z195" s="61"/>
    </row>
    <row r="196" spans="6:26" x14ac:dyDescent="0.25">
      <c r="F196" s="61"/>
      <c r="H196" s="61"/>
      <c r="J196" s="61"/>
      <c r="L196" s="61"/>
      <c r="N196" s="61"/>
      <c r="P196" s="61"/>
      <c r="R196" s="61"/>
      <c r="T196" s="61"/>
      <c r="V196" s="61"/>
      <c r="X196" s="61"/>
      <c r="Z196" s="61"/>
    </row>
    <row r="197" spans="6:26" x14ac:dyDescent="0.25">
      <c r="F197" s="61"/>
      <c r="H197" s="61"/>
      <c r="J197" s="61"/>
      <c r="L197" s="61"/>
      <c r="N197" s="61"/>
      <c r="P197" s="61"/>
      <c r="R197" s="61"/>
      <c r="T197" s="61"/>
      <c r="V197" s="61"/>
      <c r="X197" s="61"/>
      <c r="Z197" s="61"/>
    </row>
    <row r="198" spans="6:26" x14ac:dyDescent="0.25">
      <c r="F198" s="61"/>
      <c r="H198" s="61"/>
      <c r="J198" s="61"/>
      <c r="L198" s="61"/>
      <c r="N198" s="61"/>
      <c r="P198" s="61"/>
      <c r="R198" s="61"/>
      <c r="T198" s="61"/>
      <c r="V198" s="61"/>
      <c r="X198" s="61"/>
      <c r="Z198" s="61"/>
    </row>
    <row r="199" spans="6:26" x14ac:dyDescent="0.25">
      <c r="F199" s="61"/>
      <c r="H199" s="61"/>
      <c r="J199" s="61"/>
      <c r="L199" s="61"/>
      <c r="N199" s="61"/>
      <c r="P199" s="61"/>
      <c r="R199" s="61"/>
      <c r="T199" s="61"/>
      <c r="V199" s="61"/>
      <c r="X199" s="61"/>
      <c r="Z199" s="61"/>
    </row>
    <row r="200" spans="6:26" x14ac:dyDescent="0.25">
      <c r="F200" s="61"/>
      <c r="H200" s="61"/>
      <c r="J200" s="61"/>
      <c r="L200" s="61"/>
      <c r="N200" s="61"/>
      <c r="P200" s="61"/>
      <c r="R200" s="61"/>
      <c r="T200" s="61"/>
      <c r="V200" s="61"/>
      <c r="X200" s="61"/>
      <c r="Z200" s="61"/>
    </row>
    <row r="201" spans="6:26" x14ac:dyDescent="0.25">
      <c r="F201" s="61"/>
      <c r="H201" s="61"/>
      <c r="J201" s="61"/>
      <c r="L201" s="61"/>
      <c r="N201" s="61"/>
      <c r="P201" s="61"/>
      <c r="R201" s="61"/>
      <c r="T201" s="61"/>
      <c r="V201" s="61"/>
      <c r="X201" s="61"/>
      <c r="Z201" s="61"/>
    </row>
    <row r="202" spans="6:26" x14ac:dyDescent="0.25">
      <c r="F202" s="61"/>
      <c r="H202" s="61"/>
      <c r="J202" s="61"/>
      <c r="L202" s="61"/>
      <c r="N202" s="61"/>
      <c r="P202" s="61"/>
      <c r="R202" s="61"/>
      <c r="T202" s="61"/>
      <c r="V202" s="61"/>
      <c r="X202" s="61"/>
      <c r="Z202" s="61"/>
    </row>
    <row r="203" spans="6:26" x14ac:dyDescent="0.25">
      <c r="F203" s="61"/>
      <c r="H203" s="61"/>
      <c r="J203" s="61"/>
      <c r="L203" s="61"/>
      <c r="N203" s="61"/>
      <c r="P203" s="61"/>
      <c r="R203" s="61"/>
      <c r="T203" s="61"/>
      <c r="V203" s="61"/>
      <c r="X203" s="61"/>
      <c r="Z203" s="61"/>
    </row>
    <row r="204" spans="6:26" x14ac:dyDescent="0.25">
      <c r="F204" s="61"/>
      <c r="H204" s="61"/>
      <c r="J204" s="61"/>
      <c r="L204" s="61"/>
      <c r="N204" s="61"/>
      <c r="P204" s="61"/>
      <c r="R204" s="61"/>
      <c r="T204" s="61"/>
      <c r="V204" s="61"/>
      <c r="X204" s="61"/>
      <c r="Z204" s="61"/>
    </row>
    <row r="205" spans="6:26" x14ac:dyDescent="0.25">
      <c r="F205" s="61"/>
      <c r="H205" s="61"/>
      <c r="J205" s="61"/>
      <c r="L205" s="61"/>
      <c r="N205" s="61"/>
      <c r="P205" s="61"/>
      <c r="R205" s="61"/>
      <c r="T205" s="61"/>
      <c r="V205" s="61"/>
      <c r="X205" s="61"/>
      <c r="Z205" s="61"/>
    </row>
    <row r="206" spans="6:26" x14ac:dyDescent="0.25">
      <c r="F206" s="61"/>
      <c r="H206" s="61"/>
      <c r="J206" s="61"/>
      <c r="L206" s="61"/>
      <c r="N206" s="61"/>
      <c r="P206" s="61"/>
      <c r="R206" s="61"/>
      <c r="T206" s="61"/>
      <c r="V206" s="61"/>
      <c r="X206" s="61"/>
      <c r="Z206" s="61"/>
    </row>
    <row r="207" spans="6:26" x14ac:dyDescent="0.25">
      <c r="F207" s="61"/>
      <c r="H207" s="61"/>
      <c r="J207" s="61"/>
      <c r="L207" s="61"/>
      <c r="N207" s="61"/>
      <c r="P207" s="61"/>
      <c r="R207" s="61"/>
      <c r="T207" s="61"/>
      <c r="V207" s="61"/>
      <c r="X207" s="61"/>
      <c r="Z207" s="61"/>
    </row>
    <row r="208" spans="6:26" x14ac:dyDescent="0.25">
      <c r="F208" s="61"/>
      <c r="H208" s="61"/>
      <c r="J208" s="61"/>
      <c r="L208" s="61"/>
      <c r="N208" s="61"/>
      <c r="P208" s="61"/>
      <c r="R208" s="61"/>
      <c r="T208" s="61"/>
      <c r="V208" s="61"/>
      <c r="X208" s="61"/>
      <c r="Z208" s="61"/>
    </row>
    <row r="209" spans="6:26" x14ac:dyDescent="0.25">
      <c r="F209" s="61"/>
      <c r="H209" s="61"/>
      <c r="J209" s="61"/>
      <c r="L209" s="61"/>
      <c r="N209" s="61"/>
      <c r="P209" s="61"/>
      <c r="R209" s="61"/>
      <c r="T209" s="61"/>
      <c r="V209" s="61"/>
      <c r="X209" s="61"/>
      <c r="Z209" s="61"/>
    </row>
    <row r="210" spans="6:26" x14ac:dyDescent="0.25">
      <c r="F210" s="61"/>
      <c r="H210" s="61"/>
      <c r="J210" s="61"/>
      <c r="L210" s="61"/>
      <c r="N210" s="61"/>
      <c r="P210" s="61"/>
      <c r="R210" s="61"/>
      <c r="T210" s="61"/>
      <c r="V210" s="61"/>
      <c r="X210" s="61"/>
      <c r="Z210" s="61"/>
    </row>
    <row r="211" spans="6:26" x14ac:dyDescent="0.25">
      <c r="F211" s="61"/>
      <c r="H211" s="61"/>
      <c r="J211" s="61"/>
      <c r="L211" s="61"/>
      <c r="N211" s="61"/>
      <c r="P211" s="61"/>
      <c r="R211" s="61"/>
      <c r="T211" s="61"/>
      <c r="V211" s="61"/>
      <c r="X211" s="61"/>
      <c r="Z211" s="61"/>
    </row>
    <row r="212" spans="6:26" x14ac:dyDescent="0.25">
      <c r="F212" s="61"/>
      <c r="H212" s="61"/>
      <c r="J212" s="61"/>
      <c r="L212" s="61"/>
      <c r="N212" s="61"/>
      <c r="P212" s="61"/>
      <c r="R212" s="61"/>
      <c r="T212" s="61"/>
      <c r="V212" s="61"/>
      <c r="X212" s="61"/>
      <c r="Z212" s="61"/>
    </row>
    <row r="213" spans="6:26" x14ac:dyDescent="0.25">
      <c r="F213" s="61"/>
      <c r="H213" s="61"/>
      <c r="J213" s="61"/>
      <c r="L213" s="61"/>
      <c r="N213" s="61"/>
      <c r="P213" s="61"/>
      <c r="R213" s="61"/>
      <c r="T213" s="61"/>
      <c r="V213" s="61"/>
      <c r="X213" s="61"/>
      <c r="Z213" s="61"/>
    </row>
    <row r="214" spans="6:26" x14ac:dyDescent="0.25">
      <c r="F214" s="61"/>
      <c r="H214" s="61"/>
      <c r="J214" s="61"/>
      <c r="L214" s="61"/>
      <c r="N214" s="61"/>
      <c r="P214" s="61"/>
      <c r="R214" s="61"/>
      <c r="T214" s="61"/>
      <c r="V214" s="61"/>
      <c r="X214" s="61"/>
      <c r="Z214" s="61"/>
    </row>
    <row r="215" spans="6:26" x14ac:dyDescent="0.25">
      <c r="F215" s="61"/>
      <c r="H215" s="61"/>
      <c r="J215" s="61"/>
      <c r="L215" s="61"/>
      <c r="N215" s="61"/>
      <c r="P215" s="61"/>
      <c r="R215" s="61"/>
      <c r="T215" s="61"/>
      <c r="V215" s="61"/>
      <c r="X215" s="61"/>
      <c r="Z215" s="61"/>
    </row>
    <row r="216" spans="6:26" x14ac:dyDescent="0.25">
      <c r="F216" s="61"/>
      <c r="H216" s="61"/>
      <c r="J216" s="61"/>
      <c r="L216" s="61"/>
      <c r="N216" s="61"/>
      <c r="P216" s="61"/>
      <c r="R216" s="61"/>
      <c r="T216" s="61"/>
      <c r="V216" s="61"/>
      <c r="X216" s="61"/>
      <c r="Z216" s="61"/>
    </row>
    <row r="217" spans="6:26" x14ac:dyDescent="0.25">
      <c r="F217" s="61"/>
      <c r="H217" s="61"/>
      <c r="J217" s="61"/>
      <c r="L217" s="61"/>
      <c r="N217" s="61"/>
      <c r="P217" s="61"/>
      <c r="R217" s="61"/>
      <c r="T217" s="61"/>
      <c r="V217" s="61"/>
      <c r="X217" s="61"/>
      <c r="Z217" s="61"/>
    </row>
    <row r="218" spans="6:26" x14ac:dyDescent="0.25">
      <c r="F218" s="61"/>
      <c r="H218" s="61"/>
      <c r="J218" s="61"/>
      <c r="L218" s="61"/>
      <c r="N218" s="61"/>
      <c r="P218" s="61"/>
      <c r="R218" s="61"/>
      <c r="T218" s="61"/>
      <c r="V218" s="61"/>
      <c r="X218" s="61"/>
      <c r="Z218" s="61"/>
    </row>
    <row r="219" spans="6:26" x14ac:dyDescent="0.25">
      <c r="F219" s="61"/>
      <c r="H219" s="61"/>
      <c r="J219" s="61"/>
      <c r="L219" s="61"/>
      <c r="N219" s="61"/>
      <c r="P219" s="61"/>
      <c r="R219" s="61"/>
      <c r="T219" s="61"/>
      <c r="V219" s="61"/>
      <c r="X219" s="61"/>
      <c r="Z219" s="61"/>
    </row>
    <row r="220" spans="6:26" x14ac:dyDescent="0.25">
      <c r="F220" s="61"/>
      <c r="H220" s="61"/>
      <c r="J220" s="61"/>
      <c r="L220" s="61"/>
      <c r="N220" s="61"/>
      <c r="P220" s="61"/>
      <c r="R220" s="61"/>
      <c r="T220" s="61"/>
      <c r="V220" s="61"/>
      <c r="X220" s="61"/>
      <c r="Z220" s="61"/>
    </row>
    <row r="221" spans="6:26" x14ac:dyDescent="0.25">
      <c r="F221" s="61"/>
      <c r="H221" s="61"/>
      <c r="J221" s="61"/>
      <c r="L221" s="61"/>
      <c r="N221" s="61"/>
      <c r="P221" s="61"/>
      <c r="R221" s="61"/>
      <c r="T221" s="61"/>
      <c r="V221" s="61"/>
      <c r="X221" s="61"/>
      <c r="Z221" s="61"/>
    </row>
    <row r="222" spans="6:26" x14ac:dyDescent="0.25">
      <c r="F222" s="61"/>
      <c r="H222" s="61"/>
      <c r="J222" s="61"/>
      <c r="L222" s="61"/>
      <c r="N222" s="61"/>
      <c r="P222" s="61"/>
      <c r="R222" s="61"/>
      <c r="T222" s="61"/>
      <c r="V222" s="61"/>
      <c r="X222" s="61"/>
      <c r="Z222" s="61"/>
    </row>
    <row r="223" spans="6:26" x14ac:dyDescent="0.25">
      <c r="F223" s="61"/>
      <c r="H223" s="61"/>
      <c r="J223" s="61"/>
      <c r="L223" s="61"/>
      <c r="N223" s="61"/>
      <c r="P223" s="61"/>
      <c r="R223" s="61"/>
      <c r="T223" s="61"/>
      <c r="V223" s="61"/>
      <c r="X223" s="61"/>
      <c r="Z223" s="61"/>
    </row>
    <row r="224" spans="6:26" x14ac:dyDescent="0.25">
      <c r="F224" s="61"/>
      <c r="H224" s="61"/>
      <c r="J224" s="61"/>
      <c r="L224" s="61"/>
      <c r="N224" s="61"/>
      <c r="P224" s="61"/>
      <c r="R224" s="61"/>
      <c r="T224" s="61"/>
      <c r="V224" s="61"/>
      <c r="X224" s="61"/>
      <c r="Z224" s="61"/>
    </row>
    <row r="225" spans="6:26" x14ac:dyDescent="0.25">
      <c r="F225" s="61"/>
      <c r="H225" s="61"/>
      <c r="J225" s="61"/>
      <c r="L225" s="61"/>
      <c r="N225" s="61"/>
      <c r="P225" s="61"/>
      <c r="R225" s="61"/>
      <c r="T225" s="61"/>
      <c r="V225" s="61"/>
      <c r="X225" s="61"/>
      <c r="Z225" s="61"/>
    </row>
    <row r="226" spans="6:26" x14ac:dyDescent="0.25">
      <c r="F226" s="61"/>
      <c r="H226" s="61"/>
      <c r="J226" s="61"/>
      <c r="L226" s="61"/>
      <c r="N226" s="61"/>
      <c r="P226" s="61"/>
      <c r="R226" s="61"/>
      <c r="T226" s="61"/>
      <c r="V226" s="61"/>
      <c r="X226" s="61"/>
      <c r="Z226" s="61"/>
    </row>
    <row r="227" spans="6:26" x14ac:dyDescent="0.25">
      <c r="F227" s="61"/>
      <c r="H227" s="61"/>
      <c r="J227" s="61"/>
      <c r="L227" s="61"/>
      <c r="N227" s="61"/>
      <c r="P227" s="61"/>
      <c r="R227" s="61"/>
      <c r="T227" s="61"/>
      <c r="V227" s="61"/>
      <c r="X227" s="61"/>
      <c r="Z227" s="61"/>
    </row>
    <row r="228" spans="6:26" x14ac:dyDescent="0.25">
      <c r="F228" s="61"/>
      <c r="H228" s="61"/>
      <c r="J228" s="61"/>
      <c r="L228" s="61"/>
      <c r="N228" s="61"/>
      <c r="P228" s="61"/>
      <c r="R228" s="61"/>
      <c r="T228" s="61"/>
      <c r="V228" s="61"/>
      <c r="X228" s="61"/>
      <c r="Z228" s="61"/>
    </row>
    <row r="229" spans="6:26" x14ac:dyDescent="0.25">
      <c r="F229" s="61"/>
      <c r="H229" s="61"/>
      <c r="J229" s="61"/>
      <c r="L229" s="61"/>
      <c r="N229" s="61"/>
      <c r="P229" s="61"/>
      <c r="R229" s="61"/>
      <c r="T229" s="61"/>
      <c r="V229" s="61"/>
      <c r="X229" s="61"/>
      <c r="Z229" s="61"/>
    </row>
    <row r="230" spans="6:26" x14ac:dyDescent="0.25">
      <c r="F230" s="61"/>
      <c r="H230" s="61"/>
      <c r="J230" s="61"/>
      <c r="L230" s="61"/>
      <c r="N230" s="61"/>
      <c r="P230" s="61"/>
      <c r="R230" s="61"/>
      <c r="T230" s="61"/>
      <c r="V230" s="61"/>
      <c r="X230" s="61"/>
      <c r="Z230" s="61"/>
    </row>
    <row r="231" spans="6:26" x14ac:dyDescent="0.25">
      <c r="F231" s="61"/>
      <c r="H231" s="61"/>
      <c r="J231" s="61"/>
      <c r="L231" s="61"/>
      <c r="N231" s="61"/>
      <c r="P231" s="61"/>
      <c r="R231" s="61"/>
      <c r="T231" s="61"/>
      <c r="V231" s="61"/>
      <c r="X231" s="61"/>
      <c r="Z231" s="61"/>
    </row>
    <row r="232" spans="6:26" x14ac:dyDescent="0.25">
      <c r="F232" s="61"/>
      <c r="H232" s="61"/>
      <c r="J232" s="61"/>
      <c r="L232" s="61"/>
      <c r="N232" s="61"/>
      <c r="P232" s="61"/>
      <c r="R232" s="61"/>
      <c r="T232" s="61"/>
      <c r="V232" s="61"/>
      <c r="X232" s="61"/>
      <c r="Z232" s="61"/>
    </row>
    <row r="233" spans="6:26" x14ac:dyDescent="0.25">
      <c r="F233" s="61"/>
      <c r="H233" s="61"/>
      <c r="J233" s="61"/>
      <c r="L233" s="61"/>
      <c r="N233" s="61"/>
      <c r="P233" s="61"/>
      <c r="R233" s="61"/>
      <c r="T233" s="61"/>
      <c r="V233" s="61"/>
      <c r="X233" s="61"/>
      <c r="Z233" s="61"/>
    </row>
    <row r="234" spans="6:26" x14ac:dyDescent="0.25">
      <c r="F234" s="61"/>
      <c r="H234" s="61"/>
      <c r="J234" s="61"/>
      <c r="L234" s="61"/>
      <c r="N234" s="61"/>
      <c r="P234" s="61"/>
      <c r="R234" s="61"/>
      <c r="T234" s="61"/>
      <c r="V234" s="61"/>
      <c r="X234" s="61"/>
      <c r="Z234" s="61"/>
    </row>
    <row r="235" spans="6:26" x14ac:dyDescent="0.25">
      <c r="F235" s="61"/>
      <c r="H235" s="61"/>
      <c r="J235" s="61"/>
      <c r="L235" s="61"/>
      <c r="N235" s="61"/>
      <c r="P235" s="61"/>
      <c r="R235" s="61"/>
      <c r="T235" s="61"/>
      <c r="V235" s="61"/>
      <c r="X235" s="61"/>
      <c r="Z235" s="61"/>
    </row>
    <row r="236" spans="6:26" x14ac:dyDescent="0.25">
      <c r="F236" s="61"/>
      <c r="H236" s="61"/>
      <c r="J236" s="61"/>
      <c r="L236" s="61"/>
      <c r="N236" s="61"/>
      <c r="P236" s="61"/>
      <c r="R236" s="61"/>
      <c r="T236" s="61"/>
      <c r="V236" s="61"/>
      <c r="X236" s="61"/>
      <c r="Z236" s="61"/>
    </row>
    <row r="237" spans="6:26" x14ac:dyDescent="0.25">
      <c r="F237" s="61"/>
      <c r="H237" s="61"/>
      <c r="J237" s="61"/>
      <c r="L237" s="61"/>
      <c r="N237" s="61"/>
      <c r="P237" s="61"/>
      <c r="R237" s="61"/>
      <c r="T237" s="61"/>
      <c r="V237" s="61"/>
      <c r="X237" s="61"/>
      <c r="Z237" s="61"/>
    </row>
    <row r="238" spans="6:26" x14ac:dyDescent="0.25">
      <c r="F238" s="61"/>
      <c r="H238" s="61"/>
      <c r="J238" s="61"/>
      <c r="L238" s="61"/>
      <c r="N238" s="61"/>
      <c r="P238" s="61"/>
      <c r="R238" s="61"/>
      <c r="T238" s="61"/>
      <c r="V238" s="61"/>
      <c r="X238" s="61"/>
      <c r="Z238" s="61"/>
    </row>
    <row r="239" spans="6:26" x14ac:dyDescent="0.25">
      <c r="F239" s="61"/>
      <c r="H239" s="61"/>
      <c r="J239" s="61"/>
      <c r="L239" s="61"/>
      <c r="N239" s="61"/>
      <c r="P239" s="61"/>
      <c r="R239" s="61"/>
      <c r="T239" s="61"/>
      <c r="V239" s="61"/>
      <c r="X239" s="61"/>
      <c r="Z239" s="61"/>
    </row>
    <row r="240" spans="6:26" x14ac:dyDescent="0.25">
      <c r="F240" s="61"/>
      <c r="H240" s="61"/>
      <c r="J240" s="61"/>
      <c r="L240" s="61"/>
      <c r="N240" s="61"/>
      <c r="P240" s="61"/>
      <c r="R240" s="61"/>
      <c r="T240" s="61"/>
      <c r="V240" s="61"/>
      <c r="X240" s="61"/>
      <c r="Z240" s="61"/>
    </row>
    <row r="241" spans="6:26" x14ac:dyDescent="0.25">
      <c r="F241" s="61"/>
      <c r="H241" s="61"/>
      <c r="J241" s="61"/>
      <c r="L241" s="61"/>
      <c r="N241" s="61"/>
      <c r="P241" s="61"/>
      <c r="R241" s="61"/>
      <c r="T241" s="61"/>
      <c r="V241" s="61"/>
      <c r="X241" s="61"/>
      <c r="Z241" s="61"/>
    </row>
    <row r="242" spans="6:26" x14ac:dyDescent="0.25">
      <c r="F242" s="61"/>
      <c r="H242" s="61"/>
      <c r="J242" s="61"/>
      <c r="L242" s="61"/>
      <c r="N242" s="61"/>
      <c r="P242" s="61"/>
      <c r="R242" s="61"/>
      <c r="T242" s="61"/>
      <c r="V242" s="61"/>
      <c r="X242" s="61"/>
      <c r="Z242" s="61"/>
    </row>
    <row r="243" spans="6:26" x14ac:dyDescent="0.25">
      <c r="F243" s="61"/>
      <c r="H243" s="61"/>
      <c r="J243" s="61"/>
      <c r="L243" s="61"/>
      <c r="N243" s="61"/>
      <c r="P243" s="61"/>
      <c r="R243" s="61"/>
      <c r="T243" s="61"/>
      <c r="V243" s="61"/>
      <c r="X243" s="61"/>
      <c r="Z243" s="61"/>
    </row>
    <row r="244" spans="6:26" x14ac:dyDescent="0.25">
      <c r="F244" s="61"/>
      <c r="H244" s="61"/>
      <c r="J244" s="61"/>
      <c r="L244" s="61"/>
      <c r="N244" s="61"/>
      <c r="P244" s="61"/>
      <c r="R244" s="61"/>
      <c r="T244" s="61"/>
      <c r="V244" s="61"/>
      <c r="X244" s="61"/>
      <c r="Z244" s="61"/>
    </row>
    <row r="245" spans="6:26" x14ac:dyDescent="0.25">
      <c r="F245" s="61"/>
      <c r="H245" s="61"/>
      <c r="J245" s="61"/>
      <c r="L245" s="61"/>
      <c r="N245" s="61"/>
      <c r="P245" s="61"/>
      <c r="R245" s="61"/>
      <c r="T245" s="61"/>
      <c r="V245" s="61"/>
      <c r="X245" s="61"/>
      <c r="Z245" s="61"/>
    </row>
    <row r="246" spans="6:26" x14ac:dyDescent="0.25">
      <c r="F246" s="61"/>
      <c r="H246" s="61"/>
      <c r="J246" s="61"/>
      <c r="L246" s="61"/>
      <c r="N246" s="61"/>
      <c r="P246" s="61"/>
      <c r="R246" s="61"/>
      <c r="T246" s="61"/>
      <c r="V246" s="61"/>
      <c r="X246" s="61"/>
      <c r="Z246" s="61"/>
    </row>
    <row r="247" spans="6:26" x14ac:dyDescent="0.25">
      <c r="F247" s="61"/>
      <c r="H247" s="61"/>
      <c r="J247" s="61"/>
      <c r="L247" s="61"/>
      <c r="N247" s="61"/>
      <c r="P247" s="61"/>
      <c r="R247" s="61"/>
      <c r="T247" s="61"/>
      <c r="V247" s="61"/>
      <c r="X247" s="61"/>
      <c r="Z247" s="61"/>
    </row>
    <row r="248" spans="6:26" x14ac:dyDescent="0.25">
      <c r="F248" s="61"/>
      <c r="H248" s="61"/>
      <c r="J248" s="61"/>
      <c r="L248" s="61"/>
      <c r="N248" s="61"/>
      <c r="P248" s="61"/>
      <c r="R248" s="61"/>
      <c r="T248" s="61"/>
      <c r="V248" s="61"/>
      <c r="X248" s="61"/>
      <c r="Z248" s="61"/>
    </row>
    <row r="249" spans="6:26" x14ac:dyDescent="0.25">
      <c r="F249" s="61"/>
      <c r="H249" s="61"/>
      <c r="J249" s="61"/>
      <c r="L249" s="61"/>
      <c r="N249" s="61"/>
      <c r="P249" s="61"/>
      <c r="R249" s="61"/>
      <c r="T249" s="61"/>
      <c r="V249" s="61"/>
      <c r="X249" s="61"/>
      <c r="Z249" s="61"/>
    </row>
    <row r="250" spans="6:26" x14ac:dyDescent="0.25">
      <c r="F250" s="61"/>
      <c r="H250" s="61"/>
      <c r="J250" s="61"/>
      <c r="L250" s="61"/>
      <c r="N250" s="61"/>
      <c r="P250" s="61"/>
      <c r="R250" s="61"/>
      <c r="T250" s="61"/>
      <c r="V250" s="61"/>
      <c r="X250" s="61"/>
      <c r="Z250" s="61"/>
    </row>
    <row r="251" spans="6:26" x14ac:dyDescent="0.25">
      <c r="F251" s="61"/>
      <c r="H251" s="61"/>
      <c r="J251" s="61"/>
      <c r="L251" s="61"/>
      <c r="N251" s="61"/>
      <c r="P251" s="61"/>
      <c r="R251" s="61"/>
      <c r="T251" s="61"/>
      <c r="V251" s="61"/>
      <c r="X251" s="61"/>
      <c r="Z251" s="61"/>
    </row>
    <row r="252" spans="6:26" x14ac:dyDescent="0.25">
      <c r="F252" s="61"/>
      <c r="H252" s="61"/>
      <c r="J252" s="61"/>
      <c r="L252" s="61"/>
      <c r="N252" s="61"/>
      <c r="P252" s="61"/>
      <c r="R252" s="61"/>
      <c r="T252" s="61"/>
      <c r="V252" s="61"/>
      <c r="X252" s="61"/>
      <c r="Z252" s="61"/>
    </row>
    <row r="253" spans="6:26" x14ac:dyDescent="0.25">
      <c r="F253" s="61"/>
      <c r="H253" s="61"/>
      <c r="J253" s="61"/>
      <c r="L253" s="61"/>
      <c r="N253" s="61"/>
      <c r="P253" s="61"/>
      <c r="R253" s="61"/>
      <c r="T253" s="61"/>
      <c r="V253" s="61"/>
      <c r="X253" s="61"/>
      <c r="Z253" s="61"/>
    </row>
    <row r="254" spans="6:26" x14ac:dyDescent="0.25">
      <c r="F254" s="61"/>
      <c r="H254" s="61"/>
      <c r="J254" s="61"/>
      <c r="L254" s="61"/>
      <c r="N254" s="61"/>
      <c r="P254" s="61"/>
      <c r="R254" s="61"/>
      <c r="T254" s="61"/>
      <c r="V254" s="61"/>
      <c r="X254" s="61"/>
      <c r="Z254" s="61"/>
    </row>
    <row r="255" spans="6:26" x14ac:dyDescent="0.25">
      <c r="F255" s="61"/>
      <c r="H255" s="61"/>
      <c r="J255" s="61"/>
      <c r="L255" s="61"/>
      <c r="N255" s="61"/>
      <c r="P255" s="61"/>
      <c r="R255" s="61"/>
      <c r="T255" s="61"/>
      <c r="V255" s="61"/>
      <c r="X255" s="61"/>
      <c r="Z255" s="61"/>
    </row>
    <row r="256" spans="6:26" x14ac:dyDescent="0.25">
      <c r="F256" s="61"/>
      <c r="H256" s="61"/>
      <c r="J256" s="61"/>
      <c r="L256" s="61"/>
      <c r="N256" s="61"/>
      <c r="P256" s="61"/>
      <c r="R256" s="61"/>
      <c r="T256" s="61"/>
      <c r="V256" s="61"/>
      <c r="X256" s="61"/>
      <c r="Z256" s="61"/>
    </row>
    <row r="257" spans="6:26" x14ac:dyDescent="0.25">
      <c r="F257" s="61"/>
      <c r="H257" s="61"/>
      <c r="J257" s="61"/>
      <c r="L257" s="61"/>
      <c r="N257" s="61"/>
      <c r="P257" s="61"/>
      <c r="R257" s="61"/>
      <c r="T257" s="61"/>
      <c r="V257" s="61"/>
      <c r="X257" s="61"/>
      <c r="Z257" s="61"/>
    </row>
    <row r="258" spans="6:26" x14ac:dyDescent="0.25">
      <c r="F258" s="61"/>
      <c r="H258" s="61"/>
      <c r="J258" s="61"/>
      <c r="L258" s="61"/>
      <c r="N258" s="61"/>
      <c r="P258" s="61"/>
      <c r="R258" s="61"/>
      <c r="T258" s="61"/>
      <c r="V258" s="61"/>
      <c r="X258" s="61"/>
      <c r="Z258" s="61"/>
    </row>
    <row r="259" spans="6:26" x14ac:dyDescent="0.25">
      <c r="F259" s="61"/>
      <c r="H259" s="61"/>
      <c r="J259" s="61"/>
      <c r="L259" s="61"/>
      <c r="N259" s="61"/>
      <c r="P259" s="61"/>
      <c r="R259" s="61"/>
      <c r="T259" s="61"/>
      <c r="V259" s="61"/>
      <c r="X259" s="61"/>
      <c r="Z259" s="61"/>
    </row>
    <row r="260" spans="6:26" x14ac:dyDescent="0.25">
      <c r="F260" s="61"/>
      <c r="H260" s="61"/>
      <c r="J260" s="61"/>
      <c r="L260" s="61"/>
      <c r="N260" s="61"/>
      <c r="P260" s="61"/>
      <c r="R260" s="61"/>
      <c r="T260" s="61"/>
      <c r="V260" s="61"/>
      <c r="X260" s="61"/>
      <c r="Z260" s="61"/>
    </row>
    <row r="261" spans="6:26" x14ac:dyDescent="0.25">
      <c r="F261" s="61"/>
      <c r="H261" s="61"/>
      <c r="J261" s="61"/>
      <c r="L261" s="61"/>
      <c r="N261" s="61"/>
      <c r="P261" s="61"/>
      <c r="R261" s="61"/>
      <c r="T261" s="61"/>
      <c r="V261" s="61"/>
      <c r="X261" s="61"/>
      <c r="Z261" s="61"/>
    </row>
    <row r="262" spans="6:26" x14ac:dyDescent="0.25">
      <c r="F262" s="61"/>
      <c r="H262" s="61"/>
      <c r="J262" s="61"/>
      <c r="L262" s="61"/>
      <c r="N262" s="61"/>
      <c r="P262" s="61"/>
      <c r="R262" s="61"/>
      <c r="T262" s="61"/>
      <c r="V262" s="61"/>
      <c r="X262" s="61"/>
      <c r="Z262" s="61"/>
    </row>
    <row r="263" spans="6:26" x14ac:dyDescent="0.25">
      <c r="F263" s="61"/>
      <c r="H263" s="61"/>
      <c r="J263" s="61"/>
      <c r="L263" s="61"/>
      <c r="N263" s="61"/>
      <c r="P263" s="61"/>
      <c r="R263" s="61"/>
      <c r="T263" s="61"/>
      <c r="V263" s="61"/>
      <c r="X263" s="61"/>
      <c r="Z263" s="61"/>
    </row>
    <row r="264" spans="6:26" x14ac:dyDescent="0.25">
      <c r="F264" s="61"/>
      <c r="H264" s="61"/>
      <c r="J264" s="61"/>
      <c r="L264" s="61"/>
      <c r="N264" s="61"/>
      <c r="P264" s="61"/>
      <c r="R264" s="61"/>
      <c r="T264" s="61"/>
      <c r="V264" s="61"/>
      <c r="X264" s="61"/>
      <c r="Z264" s="61"/>
    </row>
    <row r="265" spans="6:26" x14ac:dyDescent="0.25">
      <c r="F265" s="61"/>
      <c r="H265" s="61"/>
      <c r="J265" s="61"/>
      <c r="L265" s="61"/>
      <c r="N265" s="61"/>
      <c r="P265" s="61"/>
      <c r="R265" s="61"/>
      <c r="T265" s="61"/>
      <c r="V265" s="61"/>
      <c r="X265" s="61"/>
      <c r="Z265" s="61"/>
    </row>
    <row r="266" spans="6:26" x14ac:dyDescent="0.25">
      <c r="F266" s="61"/>
      <c r="H266" s="61"/>
      <c r="J266" s="61"/>
      <c r="L266" s="61"/>
      <c r="N266" s="61"/>
      <c r="P266" s="61"/>
      <c r="R266" s="61"/>
      <c r="T266" s="61"/>
      <c r="V266" s="61"/>
      <c r="X266" s="61"/>
      <c r="Z266" s="61"/>
    </row>
    <row r="267" spans="6:26" x14ac:dyDescent="0.25">
      <c r="F267" s="61"/>
      <c r="H267" s="61"/>
      <c r="J267" s="61"/>
      <c r="L267" s="61"/>
      <c r="N267" s="61"/>
      <c r="P267" s="61"/>
      <c r="R267" s="61"/>
      <c r="T267" s="61"/>
      <c r="V267" s="61"/>
      <c r="X267" s="61"/>
      <c r="Z267" s="61"/>
    </row>
    <row r="268" spans="6:26" x14ac:dyDescent="0.25">
      <c r="F268" s="61"/>
      <c r="H268" s="61"/>
      <c r="J268" s="61"/>
      <c r="L268" s="61"/>
      <c r="N268" s="61"/>
      <c r="P268" s="61"/>
      <c r="R268" s="61"/>
      <c r="T268" s="61"/>
      <c r="V268" s="61"/>
      <c r="X268" s="61"/>
      <c r="Z268" s="61"/>
    </row>
    <row r="269" spans="6:26" x14ac:dyDescent="0.25">
      <c r="F269" s="61"/>
      <c r="H269" s="61"/>
      <c r="J269" s="61"/>
      <c r="L269" s="61"/>
      <c r="N269" s="61"/>
      <c r="P269" s="61"/>
      <c r="R269" s="61"/>
      <c r="T269" s="61"/>
      <c r="V269" s="61"/>
      <c r="X269" s="61"/>
      <c r="Z269" s="61"/>
    </row>
    <row r="270" spans="6:26" x14ac:dyDescent="0.25">
      <c r="F270" s="61"/>
      <c r="H270" s="61"/>
      <c r="J270" s="61"/>
      <c r="L270" s="61"/>
      <c r="N270" s="61"/>
      <c r="P270" s="61"/>
      <c r="R270" s="61"/>
      <c r="T270" s="61"/>
      <c r="V270" s="61"/>
      <c r="X270" s="61"/>
      <c r="Z270" s="61"/>
    </row>
    <row r="271" spans="6:26" x14ac:dyDescent="0.25">
      <c r="F271" s="61"/>
      <c r="H271" s="61"/>
      <c r="J271" s="61"/>
      <c r="L271" s="61"/>
      <c r="N271" s="61"/>
      <c r="P271" s="61"/>
      <c r="R271" s="61"/>
      <c r="T271" s="61"/>
      <c r="V271" s="61"/>
      <c r="X271" s="61"/>
      <c r="Z271" s="61"/>
    </row>
    <row r="272" spans="6:26" x14ac:dyDescent="0.25">
      <c r="F272" s="61"/>
      <c r="H272" s="61"/>
      <c r="J272" s="61"/>
      <c r="L272" s="61"/>
      <c r="N272" s="61"/>
      <c r="P272" s="61"/>
      <c r="R272" s="61"/>
      <c r="T272" s="61"/>
      <c r="V272" s="61"/>
      <c r="X272" s="61"/>
      <c r="Z272" s="61"/>
    </row>
    <row r="273" spans="6:26" x14ac:dyDescent="0.25">
      <c r="F273" s="61"/>
      <c r="H273" s="61"/>
      <c r="J273" s="61"/>
      <c r="L273" s="61"/>
      <c r="N273" s="61"/>
      <c r="P273" s="61"/>
      <c r="R273" s="61"/>
      <c r="T273" s="61"/>
      <c r="V273" s="61"/>
      <c r="X273" s="61"/>
      <c r="Z273" s="61"/>
    </row>
    <row r="274" spans="6:26" x14ac:dyDescent="0.25">
      <c r="F274" s="61"/>
      <c r="H274" s="61"/>
      <c r="J274" s="61"/>
      <c r="L274" s="61"/>
      <c r="N274" s="61"/>
      <c r="P274" s="61"/>
      <c r="R274" s="61"/>
      <c r="T274" s="61"/>
      <c r="V274" s="61"/>
      <c r="X274" s="61"/>
      <c r="Z274" s="61"/>
    </row>
    <row r="275" spans="6:26" x14ac:dyDescent="0.25">
      <c r="F275" s="61"/>
      <c r="H275" s="61"/>
      <c r="J275" s="61"/>
      <c r="L275" s="61"/>
      <c r="N275" s="61"/>
      <c r="P275" s="61"/>
      <c r="R275" s="61"/>
      <c r="T275" s="61"/>
      <c r="V275" s="61"/>
      <c r="X275" s="61"/>
      <c r="Z275" s="61"/>
    </row>
    <row r="276" spans="6:26" x14ac:dyDescent="0.25">
      <c r="F276" s="61"/>
      <c r="H276" s="61"/>
      <c r="J276" s="61"/>
      <c r="L276" s="61"/>
      <c r="N276" s="61"/>
      <c r="P276" s="61"/>
      <c r="R276" s="61"/>
      <c r="T276" s="61"/>
      <c r="V276" s="61"/>
      <c r="X276" s="61"/>
      <c r="Z276" s="61"/>
    </row>
    <row r="277" spans="6:26" x14ac:dyDescent="0.25">
      <c r="F277" s="61"/>
      <c r="H277" s="61"/>
      <c r="J277" s="61"/>
      <c r="L277" s="61"/>
      <c r="N277" s="61"/>
      <c r="P277" s="61"/>
      <c r="R277" s="61"/>
      <c r="T277" s="61"/>
      <c r="V277" s="61"/>
      <c r="X277" s="61"/>
      <c r="Z277" s="61"/>
    </row>
    <row r="278" spans="6:26" x14ac:dyDescent="0.25">
      <c r="F278" s="61"/>
      <c r="H278" s="61"/>
      <c r="J278" s="61"/>
      <c r="L278" s="61"/>
      <c r="N278" s="61"/>
      <c r="P278" s="61"/>
      <c r="R278" s="61"/>
      <c r="T278" s="61"/>
      <c r="V278" s="61"/>
      <c r="X278" s="61"/>
      <c r="Z278" s="61"/>
    </row>
    <row r="279" spans="6:26" x14ac:dyDescent="0.25">
      <c r="F279" s="61"/>
      <c r="H279" s="61"/>
      <c r="J279" s="61"/>
      <c r="L279" s="61"/>
      <c r="N279" s="61"/>
      <c r="P279" s="61"/>
      <c r="R279" s="61"/>
      <c r="T279" s="61"/>
      <c r="V279" s="61"/>
      <c r="X279" s="61"/>
      <c r="Z279" s="61"/>
    </row>
    <row r="280" spans="6:26" x14ac:dyDescent="0.25">
      <c r="F280" s="61"/>
      <c r="H280" s="61"/>
      <c r="J280" s="61"/>
      <c r="L280" s="61"/>
      <c r="N280" s="61"/>
      <c r="P280" s="61"/>
      <c r="R280" s="61"/>
      <c r="T280" s="61"/>
      <c r="V280" s="61"/>
      <c r="X280" s="61"/>
      <c r="Z280" s="61"/>
    </row>
    <row r="281" spans="6:26" x14ac:dyDescent="0.25">
      <c r="F281" s="61"/>
      <c r="H281" s="61"/>
      <c r="J281" s="61"/>
      <c r="L281" s="61"/>
      <c r="N281" s="61"/>
      <c r="P281" s="61"/>
      <c r="R281" s="61"/>
      <c r="T281" s="61"/>
      <c r="V281" s="61"/>
      <c r="X281" s="61"/>
      <c r="Z281" s="61"/>
    </row>
    <row r="282" spans="6:26" x14ac:dyDescent="0.25">
      <c r="F282" s="61"/>
      <c r="H282" s="61"/>
      <c r="J282" s="61"/>
      <c r="L282" s="61"/>
      <c r="N282" s="61"/>
      <c r="P282" s="61"/>
      <c r="R282" s="61"/>
      <c r="T282" s="61"/>
      <c r="V282" s="61"/>
      <c r="X282" s="61"/>
      <c r="Z282" s="61"/>
    </row>
    <row r="283" spans="6:26" x14ac:dyDescent="0.25">
      <c r="F283" s="61"/>
      <c r="H283" s="61"/>
      <c r="J283" s="61"/>
      <c r="L283" s="61"/>
      <c r="N283" s="61"/>
      <c r="P283" s="61"/>
      <c r="R283" s="61"/>
      <c r="T283" s="61"/>
      <c r="V283" s="61"/>
      <c r="X283" s="61"/>
      <c r="Z283" s="61"/>
    </row>
    <row r="284" spans="6:26" x14ac:dyDescent="0.25">
      <c r="F284" s="61"/>
      <c r="H284" s="61"/>
      <c r="J284" s="61"/>
      <c r="L284" s="61"/>
      <c r="N284" s="61"/>
      <c r="P284" s="61"/>
      <c r="R284" s="61"/>
      <c r="T284" s="61"/>
      <c r="V284" s="61"/>
      <c r="X284" s="61"/>
      <c r="Z284" s="61"/>
    </row>
    <row r="285" spans="6:26" x14ac:dyDescent="0.25">
      <c r="F285" s="61"/>
      <c r="H285" s="61"/>
      <c r="J285" s="61"/>
      <c r="L285" s="61"/>
      <c r="N285" s="61"/>
      <c r="P285" s="61"/>
      <c r="R285" s="61"/>
      <c r="T285" s="61"/>
      <c r="V285" s="61"/>
      <c r="X285" s="61"/>
      <c r="Z285" s="61"/>
    </row>
    <row r="286" spans="6:26" x14ac:dyDescent="0.25">
      <c r="F286" s="61"/>
      <c r="H286" s="61"/>
      <c r="J286" s="61"/>
      <c r="L286" s="61"/>
      <c r="N286" s="61"/>
      <c r="P286" s="61"/>
      <c r="R286" s="61"/>
      <c r="T286" s="61"/>
      <c r="V286" s="61"/>
      <c r="X286" s="61"/>
      <c r="Z286" s="61"/>
    </row>
    <row r="287" spans="6:26" x14ac:dyDescent="0.25">
      <c r="F287" s="61"/>
      <c r="H287" s="61"/>
      <c r="J287" s="61"/>
      <c r="L287" s="61"/>
      <c r="N287" s="61"/>
      <c r="P287" s="61"/>
      <c r="R287" s="61"/>
      <c r="T287" s="61"/>
      <c r="V287" s="61"/>
      <c r="X287" s="61"/>
      <c r="Z287" s="61"/>
    </row>
    <row r="288" spans="6:26" x14ac:dyDescent="0.25">
      <c r="F288" s="61"/>
      <c r="H288" s="61"/>
      <c r="J288" s="61"/>
      <c r="L288" s="61"/>
      <c r="N288" s="61"/>
      <c r="P288" s="61"/>
      <c r="R288" s="61"/>
      <c r="T288" s="61"/>
      <c r="V288" s="61"/>
      <c r="X288" s="61"/>
      <c r="Z288" s="61"/>
    </row>
    <row r="289" spans="6:26" x14ac:dyDescent="0.25">
      <c r="F289" s="61"/>
      <c r="H289" s="61"/>
      <c r="J289" s="61"/>
      <c r="L289" s="61"/>
      <c r="N289" s="61"/>
      <c r="P289" s="61"/>
      <c r="R289" s="61"/>
      <c r="T289" s="61"/>
      <c r="V289" s="61"/>
      <c r="X289" s="61"/>
      <c r="Z289" s="61"/>
    </row>
    <row r="290" spans="6:26" x14ac:dyDescent="0.25">
      <c r="F290" s="61"/>
      <c r="H290" s="61"/>
      <c r="J290" s="61"/>
      <c r="L290" s="61"/>
      <c r="N290" s="61"/>
      <c r="P290" s="61"/>
      <c r="R290" s="61"/>
      <c r="T290" s="61"/>
      <c r="V290" s="61"/>
      <c r="X290" s="61"/>
      <c r="Z290" s="61"/>
    </row>
    <row r="291" spans="6:26" x14ac:dyDescent="0.25">
      <c r="F291" s="61"/>
      <c r="H291" s="61"/>
      <c r="J291" s="61"/>
      <c r="L291" s="61"/>
      <c r="N291" s="61"/>
      <c r="P291" s="61"/>
      <c r="R291" s="61"/>
      <c r="T291" s="61"/>
      <c r="V291" s="61"/>
      <c r="X291" s="61"/>
      <c r="Z291" s="61"/>
    </row>
    <row r="292" spans="6:26" x14ac:dyDescent="0.25">
      <c r="F292" s="61"/>
      <c r="H292" s="61"/>
      <c r="J292" s="61"/>
      <c r="L292" s="61"/>
      <c r="N292" s="61"/>
      <c r="P292" s="61"/>
      <c r="R292" s="61"/>
      <c r="T292" s="61"/>
      <c r="V292" s="61"/>
      <c r="X292" s="61"/>
      <c r="Z292" s="61"/>
    </row>
    <row r="293" spans="6:26" x14ac:dyDescent="0.25">
      <c r="F293" s="61"/>
      <c r="H293" s="61"/>
      <c r="J293" s="61"/>
      <c r="L293" s="61"/>
      <c r="N293" s="61"/>
      <c r="P293" s="61"/>
      <c r="R293" s="61"/>
      <c r="T293" s="61"/>
      <c r="V293" s="61"/>
      <c r="X293" s="61"/>
      <c r="Z293" s="61"/>
    </row>
    <row r="294" spans="6:26" x14ac:dyDescent="0.25">
      <c r="F294" s="61"/>
      <c r="H294" s="61"/>
      <c r="J294" s="61"/>
      <c r="L294" s="61"/>
      <c r="N294" s="61"/>
      <c r="P294" s="61"/>
      <c r="R294" s="61"/>
      <c r="T294" s="61"/>
      <c r="V294" s="61"/>
      <c r="X294" s="61"/>
      <c r="Z294" s="61"/>
    </row>
    <row r="295" spans="6:26" x14ac:dyDescent="0.25">
      <c r="F295" s="61"/>
      <c r="H295" s="61"/>
      <c r="J295" s="61"/>
      <c r="L295" s="61"/>
      <c r="N295" s="61"/>
      <c r="P295" s="61"/>
      <c r="R295" s="61"/>
      <c r="T295" s="61"/>
      <c r="V295" s="61"/>
      <c r="X295" s="61"/>
      <c r="Z295" s="61"/>
    </row>
    <row r="296" spans="6:26" x14ac:dyDescent="0.25">
      <c r="F296" s="61"/>
      <c r="H296" s="61"/>
      <c r="J296" s="61"/>
      <c r="L296" s="61"/>
      <c r="N296" s="61"/>
      <c r="P296" s="61"/>
      <c r="R296" s="61"/>
      <c r="T296" s="61"/>
      <c r="V296" s="61"/>
      <c r="X296" s="61"/>
      <c r="Z296" s="61"/>
    </row>
    <row r="297" spans="6:26" x14ac:dyDescent="0.25">
      <c r="F297" s="61"/>
      <c r="H297" s="61"/>
      <c r="J297" s="61"/>
      <c r="L297" s="61"/>
      <c r="N297" s="61"/>
      <c r="P297" s="61"/>
      <c r="R297" s="61"/>
      <c r="T297" s="61"/>
      <c r="V297" s="61"/>
      <c r="X297" s="61"/>
      <c r="Z297" s="61"/>
    </row>
    <row r="298" spans="6:26" x14ac:dyDescent="0.25">
      <c r="F298" s="61"/>
      <c r="H298" s="61"/>
      <c r="J298" s="61"/>
      <c r="L298" s="61"/>
      <c r="N298" s="61"/>
      <c r="P298" s="61"/>
      <c r="R298" s="61"/>
      <c r="T298" s="61"/>
      <c r="V298" s="61"/>
      <c r="X298" s="61"/>
      <c r="Z298" s="61"/>
    </row>
    <row r="299" spans="6:26" x14ac:dyDescent="0.25">
      <c r="F299" s="61"/>
      <c r="H299" s="61"/>
      <c r="J299" s="61"/>
      <c r="L299" s="61"/>
      <c r="N299" s="61"/>
      <c r="P299" s="61"/>
      <c r="R299" s="61"/>
      <c r="T299" s="61"/>
      <c r="V299" s="61"/>
      <c r="X299" s="61"/>
      <c r="Z299" s="61"/>
    </row>
    <row r="300" spans="6:26" x14ac:dyDescent="0.25">
      <c r="F300" s="61"/>
      <c r="H300" s="61"/>
      <c r="J300" s="61"/>
      <c r="L300" s="61"/>
      <c r="N300" s="61"/>
      <c r="P300" s="61"/>
      <c r="R300" s="61"/>
      <c r="T300" s="61"/>
      <c r="V300" s="61"/>
      <c r="X300" s="61"/>
      <c r="Z300" s="61"/>
    </row>
    <row r="301" spans="6:26" x14ac:dyDescent="0.25">
      <c r="F301" s="61"/>
      <c r="H301" s="61"/>
      <c r="J301" s="61"/>
      <c r="L301" s="61"/>
      <c r="N301" s="61"/>
      <c r="P301" s="61"/>
      <c r="R301" s="61"/>
      <c r="T301" s="61"/>
      <c r="V301" s="61"/>
      <c r="X301" s="61"/>
      <c r="Z301" s="61"/>
    </row>
    <row r="302" spans="6:26" x14ac:dyDescent="0.25">
      <c r="F302" s="61"/>
      <c r="H302" s="61"/>
      <c r="J302" s="61"/>
      <c r="L302" s="61"/>
      <c r="N302" s="61"/>
      <c r="P302" s="61"/>
      <c r="R302" s="61"/>
      <c r="T302" s="61"/>
      <c r="V302" s="61"/>
      <c r="X302" s="61"/>
      <c r="Z302" s="61"/>
    </row>
    <row r="303" spans="6:26" x14ac:dyDescent="0.25">
      <c r="F303" s="61"/>
      <c r="H303" s="61"/>
      <c r="J303" s="61"/>
      <c r="L303" s="61"/>
      <c r="N303" s="61"/>
      <c r="P303" s="61"/>
      <c r="R303" s="61"/>
      <c r="T303" s="61"/>
      <c r="V303" s="61"/>
      <c r="X303" s="61"/>
      <c r="Z303" s="61"/>
    </row>
    <row r="304" spans="6:26" x14ac:dyDescent="0.25">
      <c r="F304" s="61"/>
      <c r="H304" s="61"/>
      <c r="J304" s="61"/>
      <c r="L304" s="61"/>
      <c r="N304" s="61"/>
      <c r="P304" s="61"/>
      <c r="R304" s="61"/>
      <c r="T304" s="61"/>
      <c r="V304" s="61"/>
      <c r="X304" s="61"/>
      <c r="Z304" s="61"/>
    </row>
    <row r="305" spans="6:26" x14ac:dyDescent="0.25">
      <c r="F305" s="61"/>
      <c r="H305" s="61"/>
      <c r="J305" s="61"/>
      <c r="L305" s="61"/>
      <c r="N305" s="61"/>
      <c r="P305" s="61"/>
      <c r="R305" s="61"/>
      <c r="T305" s="61"/>
      <c r="V305" s="61"/>
      <c r="X305" s="61"/>
      <c r="Z305" s="61"/>
    </row>
    <row r="306" spans="6:26" x14ac:dyDescent="0.25">
      <c r="F306" s="61"/>
      <c r="H306" s="61"/>
      <c r="J306" s="61"/>
      <c r="L306" s="61"/>
      <c r="N306" s="61"/>
      <c r="P306" s="61"/>
      <c r="R306" s="61"/>
      <c r="T306" s="61"/>
      <c r="V306" s="61"/>
      <c r="X306" s="61"/>
      <c r="Z306" s="61"/>
    </row>
    <row r="307" spans="6:26" x14ac:dyDescent="0.25">
      <c r="F307" s="61"/>
      <c r="H307" s="61"/>
      <c r="J307" s="61"/>
      <c r="L307" s="61"/>
      <c r="N307" s="61"/>
      <c r="P307" s="61"/>
      <c r="R307" s="61"/>
      <c r="T307" s="61"/>
      <c r="V307" s="61"/>
      <c r="X307" s="61"/>
      <c r="Z307" s="61"/>
    </row>
    <row r="308" spans="6:26" x14ac:dyDescent="0.25">
      <c r="F308" s="61"/>
      <c r="H308" s="61"/>
      <c r="J308" s="61"/>
      <c r="L308" s="61"/>
      <c r="N308" s="61"/>
      <c r="P308" s="61"/>
      <c r="R308" s="61"/>
      <c r="T308" s="61"/>
      <c r="V308" s="61"/>
      <c r="X308" s="61"/>
      <c r="Z308" s="61"/>
    </row>
    <row r="309" spans="6:26" x14ac:dyDescent="0.25">
      <c r="F309" s="61"/>
      <c r="H309" s="61"/>
      <c r="J309" s="61"/>
      <c r="L309" s="61"/>
      <c r="N309" s="61"/>
      <c r="P309" s="61"/>
      <c r="R309" s="61"/>
      <c r="T309" s="61"/>
      <c r="V309" s="61"/>
      <c r="X309" s="61"/>
      <c r="Z309" s="61"/>
    </row>
    <row r="310" spans="6:26" x14ac:dyDescent="0.25">
      <c r="F310" s="61"/>
      <c r="H310" s="61"/>
      <c r="J310" s="61"/>
      <c r="L310" s="61"/>
      <c r="N310" s="61"/>
      <c r="P310" s="61"/>
      <c r="R310" s="61"/>
      <c r="T310" s="61"/>
      <c r="V310" s="61"/>
      <c r="X310" s="61"/>
      <c r="Z310" s="61"/>
    </row>
    <row r="311" spans="6:26" x14ac:dyDescent="0.25">
      <c r="F311" s="61"/>
      <c r="H311" s="61"/>
      <c r="J311" s="61"/>
      <c r="L311" s="61"/>
      <c r="N311" s="61"/>
      <c r="P311" s="61"/>
      <c r="R311" s="61"/>
      <c r="T311" s="61"/>
      <c r="V311" s="61"/>
      <c r="X311" s="61"/>
      <c r="Z311" s="61"/>
    </row>
    <row r="312" spans="6:26" x14ac:dyDescent="0.25">
      <c r="F312" s="61"/>
      <c r="H312" s="61"/>
      <c r="J312" s="61"/>
      <c r="L312" s="61"/>
      <c r="N312" s="61"/>
      <c r="P312" s="61"/>
      <c r="R312" s="61"/>
      <c r="T312" s="61"/>
      <c r="V312" s="61"/>
      <c r="X312" s="61"/>
      <c r="Z312" s="61"/>
    </row>
    <row r="313" spans="6:26" x14ac:dyDescent="0.25">
      <c r="F313" s="61"/>
      <c r="H313" s="61"/>
      <c r="J313" s="61"/>
      <c r="L313" s="61"/>
      <c r="N313" s="61"/>
      <c r="P313" s="61"/>
      <c r="R313" s="61"/>
      <c r="T313" s="61"/>
      <c r="V313" s="61"/>
      <c r="X313" s="61"/>
      <c r="Z313" s="61"/>
    </row>
    <row r="314" spans="6:26" x14ac:dyDescent="0.25">
      <c r="F314" s="61"/>
      <c r="H314" s="61"/>
      <c r="J314" s="61"/>
      <c r="L314" s="61"/>
      <c r="N314" s="61"/>
      <c r="P314" s="61"/>
      <c r="R314" s="61"/>
      <c r="T314" s="61"/>
      <c r="V314" s="61"/>
      <c r="X314" s="61"/>
      <c r="Z314" s="61"/>
    </row>
    <row r="315" spans="6:26" x14ac:dyDescent="0.25">
      <c r="F315" s="61"/>
      <c r="H315" s="61"/>
      <c r="J315" s="61"/>
      <c r="L315" s="61"/>
      <c r="N315" s="61"/>
      <c r="P315" s="61"/>
      <c r="R315" s="61"/>
      <c r="T315" s="61"/>
      <c r="V315" s="61"/>
      <c r="X315" s="61"/>
      <c r="Z315" s="61"/>
    </row>
    <row r="316" spans="6:26" x14ac:dyDescent="0.25">
      <c r="F316" s="61"/>
      <c r="H316" s="61"/>
      <c r="J316" s="61"/>
      <c r="L316" s="61"/>
      <c r="N316" s="61"/>
      <c r="P316" s="61"/>
      <c r="R316" s="61"/>
      <c r="T316" s="61"/>
      <c r="V316" s="61"/>
      <c r="X316" s="61"/>
      <c r="Z316" s="61"/>
    </row>
    <row r="317" spans="6:26" x14ac:dyDescent="0.25">
      <c r="F317" s="61"/>
      <c r="H317" s="61"/>
      <c r="J317" s="61"/>
      <c r="L317" s="61"/>
      <c r="N317" s="61"/>
      <c r="P317" s="61"/>
      <c r="R317" s="61"/>
      <c r="T317" s="61"/>
      <c r="V317" s="61"/>
      <c r="X317" s="61"/>
      <c r="Z317" s="61"/>
    </row>
    <row r="318" spans="6:26" x14ac:dyDescent="0.25">
      <c r="F318" s="61"/>
      <c r="H318" s="61"/>
      <c r="J318" s="61"/>
      <c r="L318" s="61"/>
      <c r="N318" s="61"/>
      <c r="P318" s="61"/>
      <c r="R318" s="61"/>
      <c r="T318" s="61"/>
      <c r="V318" s="61"/>
      <c r="X318" s="61"/>
      <c r="Z318" s="61"/>
    </row>
    <row r="319" spans="6:26" x14ac:dyDescent="0.25">
      <c r="F319" s="61"/>
      <c r="H319" s="61"/>
      <c r="J319" s="61"/>
      <c r="L319" s="61"/>
      <c r="N319" s="61"/>
      <c r="P319" s="61"/>
      <c r="R319" s="61"/>
      <c r="T319" s="61"/>
      <c r="V319" s="61"/>
      <c r="X319" s="61"/>
      <c r="Z319" s="61"/>
    </row>
    <row r="320" spans="6:26" x14ac:dyDescent="0.25">
      <c r="F320" s="61"/>
      <c r="H320" s="61"/>
      <c r="J320" s="61"/>
      <c r="L320" s="61"/>
      <c r="N320" s="61"/>
      <c r="P320" s="61"/>
      <c r="R320" s="61"/>
      <c r="T320" s="61"/>
      <c r="V320" s="61"/>
      <c r="X320" s="61"/>
      <c r="Z320" s="61"/>
    </row>
    <row r="321" spans="6:26" x14ac:dyDescent="0.25">
      <c r="F321" s="61"/>
      <c r="H321" s="61"/>
      <c r="J321" s="61"/>
      <c r="L321" s="61"/>
      <c r="N321" s="61"/>
      <c r="P321" s="61"/>
      <c r="R321" s="61"/>
      <c r="T321" s="61"/>
      <c r="V321" s="61"/>
      <c r="X321" s="61"/>
      <c r="Z321" s="61"/>
    </row>
    <row r="322" spans="6:26" x14ac:dyDescent="0.25">
      <c r="F322" s="61"/>
      <c r="H322" s="61"/>
      <c r="J322" s="61"/>
      <c r="L322" s="61"/>
      <c r="N322" s="61"/>
      <c r="P322" s="61"/>
      <c r="R322" s="61"/>
      <c r="T322" s="61"/>
      <c r="V322" s="61"/>
      <c r="X322" s="61"/>
      <c r="Z322" s="61"/>
    </row>
    <row r="323" spans="6:26" x14ac:dyDescent="0.25">
      <c r="F323" s="61"/>
      <c r="H323" s="61"/>
      <c r="J323" s="61"/>
      <c r="L323" s="61"/>
      <c r="N323" s="61"/>
      <c r="P323" s="61"/>
      <c r="R323" s="61"/>
      <c r="T323" s="61"/>
      <c r="V323" s="61"/>
      <c r="X323" s="61"/>
      <c r="Z323" s="61"/>
    </row>
    <row r="324" spans="6:26" x14ac:dyDescent="0.25">
      <c r="F324" s="61"/>
      <c r="H324" s="61"/>
      <c r="J324" s="61"/>
      <c r="L324" s="61"/>
      <c r="N324" s="61"/>
      <c r="P324" s="61"/>
      <c r="R324" s="61"/>
      <c r="T324" s="61"/>
      <c r="V324" s="61"/>
      <c r="X324" s="61"/>
      <c r="Z324" s="61"/>
    </row>
    <row r="325" spans="6:26" x14ac:dyDescent="0.25">
      <c r="F325" s="61"/>
      <c r="H325" s="61"/>
      <c r="J325" s="61"/>
      <c r="L325" s="61"/>
      <c r="N325" s="61"/>
      <c r="P325" s="61"/>
      <c r="R325" s="61"/>
      <c r="T325" s="61"/>
      <c r="V325" s="61"/>
      <c r="X325" s="61"/>
      <c r="Z325" s="61"/>
    </row>
    <row r="326" spans="6:26" x14ac:dyDescent="0.25">
      <c r="F326" s="61"/>
      <c r="H326" s="61"/>
      <c r="J326" s="61"/>
      <c r="L326" s="61"/>
      <c r="N326" s="61"/>
      <c r="P326" s="61"/>
      <c r="R326" s="61"/>
      <c r="T326" s="61"/>
      <c r="V326" s="61"/>
      <c r="X326" s="61"/>
      <c r="Z326" s="61"/>
    </row>
    <row r="327" spans="6:26" x14ac:dyDescent="0.25">
      <c r="F327" s="61"/>
      <c r="H327" s="61"/>
      <c r="J327" s="61"/>
      <c r="L327" s="61"/>
      <c r="N327" s="61"/>
      <c r="P327" s="61"/>
      <c r="R327" s="61"/>
      <c r="T327" s="61"/>
      <c r="V327" s="61"/>
      <c r="X327" s="61"/>
      <c r="Z327" s="61"/>
    </row>
    <row r="328" spans="6:26" x14ac:dyDescent="0.25">
      <c r="F328" s="61"/>
      <c r="H328" s="61"/>
      <c r="J328" s="61"/>
      <c r="L328" s="61"/>
      <c r="N328" s="61"/>
      <c r="P328" s="61"/>
      <c r="R328" s="61"/>
      <c r="T328" s="61"/>
      <c r="V328" s="61"/>
      <c r="X328" s="61"/>
      <c r="Z328" s="61"/>
    </row>
    <row r="329" spans="6:26" x14ac:dyDescent="0.25">
      <c r="F329" s="61"/>
      <c r="H329" s="61"/>
      <c r="J329" s="61"/>
      <c r="L329" s="61"/>
      <c r="N329" s="61"/>
      <c r="P329" s="61"/>
      <c r="R329" s="61"/>
      <c r="T329" s="61"/>
      <c r="V329" s="61"/>
      <c r="X329" s="61"/>
      <c r="Z329" s="61"/>
    </row>
    <row r="330" spans="6:26" x14ac:dyDescent="0.25">
      <c r="F330" s="61"/>
      <c r="H330" s="61"/>
      <c r="J330" s="61"/>
      <c r="L330" s="61"/>
      <c r="N330" s="61"/>
      <c r="P330" s="61"/>
      <c r="R330" s="61"/>
      <c r="T330" s="61"/>
      <c r="V330" s="61"/>
      <c r="X330" s="61"/>
      <c r="Z330" s="61"/>
    </row>
    <row r="331" spans="6:26" x14ac:dyDescent="0.25">
      <c r="F331" s="61"/>
      <c r="H331" s="61"/>
      <c r="J331" s="61"/>
      <c r="L331" s="61"/>
      <c r="N331" s="61"/>
      <c r="P331" s="61"/>
      <c r="R331" s="61"/>
      <c r="T331" s="61"/>
      <c r="V331" s="61"/>
      <c r="X331" s="61"/>
      <c r="Z331" s="61"/>
    </row>
    <row r="332" spans="6:26" x14ac:dyDescent="0.25">
      <c r="F332" s="61"/>
      <c r="H332" s="61"/>
      <c r="J332" s="61"/>
      <c r="L332" s="61"/>
      <c r="N332" s="61"/>
      <c r="P332" s="61"/>
      <c r="R332" s="61"/>
      <c r="T332" s="61"/>
      <c r="V332" s="61"/>
      <c r="X332" s="61"/>
      <c r="Z332" s="61"/>
    </row>
    <row r="333" spans="6:26" x14ac:dyDescent="0.25">
      <c r="F333" s="61"/>
      <c r="H333" s="61"/>
      <c r="J333" s="61"/>
      <c r="L333" s="61"/>
      <c r="N333" s="61"/>
      <c r="P333" s="61"/>
      <c r="R333" s="61"/>
      <c r="T333" s="61"/>
      <c r="V333" s="61"/>
      <c r="X333" s="61"/>
      <c r="Z333" s="61"/>
    </row>
    <row r="334" spans="6:26" x14ac:dyDescent="0.25">
      <c r="F334" s="61"/>
      <c r="H334" s="61"/>
      <c r="J334" s="61"/>
      <c r="L334" s="61"/>
      <c r="N334" s="61"/>
      <c r="P334" s="61"/>
      <c r="R334" s="61"/>
      <c r="T334" s="61"/>
      <c r="V334" s="61"/>
      <c r="X334" s="61"/>
      <c r="Z334" s="61"/>
    </row>
    <row r="335" spans="6:26" x14ac:dyDescent="0.25">
      <c r="F335" s="61"/>
      <c r="H335" s="61"/>
      <c r="J335" s="61"/>
      <c r="L335" s="61"/>
      <c r="N335" s="61"/>
      <c r="P335" s="61"/>
      <c r="R335" s="61"/>
      <c r="T335" s="61"/>
      <c r="V335" s="61"/>
      <c r="X335" s="61"/>
      <c r="Z335" s="61"/>
    </row>
    <row r="336" spans="6:26" x14ac:dyDescent="0.25">
      <c r="F336" s="61"/>
      <c r="H336" s="61"/>
      <c r="J336" s="61"/>
      <c r="L336" s="61"/>
      <c r="N336" s="61"/>
      <c r="P336" s="61"/>
      <c r="R336" s="61"/>
      <c r="T336" s="61"/>
      <c r="V336" s="61"/>
      <c r="X336" s="61"/>
      <c r="Z336" s="61"/>
    </row>
    <row r="337" spans="6:26" x14ac:dyDescent="0.25">
      <c r="F337" s="61"/>
      <c r="H337" s="61"/>
      <c r="J337" s="61"/>
      <c r="L337" s="61"/>
      <c r="N337" s="61"/>
      <c r="P337" s="61"/>
      <c r="R337" s="61"/>
      <c r="T337" s="61"/>
      <c r="V337" s="61"/>
      <c r="X337" s="61"/>
      <c r="Z337" s="61"/>
    </row>
    <row r="338" spans="6:26" x14ac:dyDescent="0.25">
      <c r="F338" s="61"/>
      <c r="H338" s="61"/>
      <c r="J338" s="61"/>
      <c r="L338" s="61"/>
      <c r="N338" s="61"/>
      <c r="P338" s="61"/>
      <c r="R338" s="61"/>
      <c r="T338" s="61"/>
      <c r="V338" s="61"/>
      <c r="X338" s="61"/>
      <c r="Z338" s="61"/>
    </row>
    <row r="339" spans="6:26" x14ac:dyDescent="0.25">
      <c r="F339" s="61"/>
      <c r="H339" s="61"/>
      <c r="J339" s="61"/>
      <c r="L339" s="61"/>
      <c r="N339" s="61"/>
      <c r="P339" s="61"/>
      <c r="R339" s="61"/>
      <c r="T339" s="61"/>
      <c r="V339" s="61"/>
      <c r="X339" s="61"/>
      <c r="Z339" s="61"/>
    </row>
    <row r="340" spans="6:26" x14ac:dyDescent="0.25">
      <c r="F340" s="61"/>
      <c r="H340" s="61"/>
      <c r="J340" s="61"/>
      <c r="L340" s="61"/>
      <c r="N340" s="61"/>
      <c r="P340" s="61"/>
      <c r="R340" s="61"/>
      <c r="T340" s="61"/>
      <c r="V340" s="61"/>
      <c r="X340" s="61"/>
      <c r="Z340" s="61"/>
    </row>
    <row r="341" spans="6:26" x14ac:dyDescent="0.25">
      <c r="F341" s="61"/>
      <c r="H341" s="61"/>
      <c r="J341" s="61"/>
      <c r="L341" s="61"/>
      <c r="N341" s="61"/>
      <c r="P341" s="61"/>
      <c r="R341" s="61"/>
      <c r="T341" s="61"/>
      <c r="V341" s="61"/>
      <c r="X341" s="61"/>
      <c r="Z341" s="61"/>
    </row>
    <row r="342" spans="6:26" x14ac:dyDescent="0.25">
      <c r="F342" s="61"/>
      <c r="H342" s="61"/>
      <c r="J342" s="61"/>
      <c r="L342" s="61"/>
      <c r="N342" s="61"/>
      <c r="P342" s="61"/>
      <c r="R342" s="61"/>
      <c r="T342" s="61"/>
      <c r="V342" s="61"/>
      <c r="X342" s="61"/>
      <c r="Z342" s="61"/>
    </row>
    <row r="343" spans="6:26" x14ac:dyDescent="0.25">
      <c r="F343" s="61"/>
      <c r="H343" s="61"/>
      <c r="J343" s="61"/>
      <c r="L343" s="61"/>
      <c r="N343" s="61"/>
      <c r="P343" s="61"/>
      <c r="R343" s="61"/>
      <c r="T343" s="61"/>
      <c r="V343" s="61"/>
      <c r="X343" s="61"/>
      <c r="Z343" s="61"/>
    </row>
    <row r="344" spans="6:26" x14ac:dyDescent="0.25">
      <c r="F344" s="61"/>
      <c r="H344" s="61"/>
      <c r="J344" s="61"/>
      <c r="L344" s="61"/>
      <c r="N344" s="61"/>
      <c r="P344" s="61"/>
      <c r="R344" s="61"/>
      <c r="T344" s="61"/>
      <c r="V344" s="61"/>
      <c r="X344" s="61"/>
      <c r="Z344" s="61"/>
    </row>
    <row r="345" spans="6:26" x14ac:dyDescent="0.25">
      <c r="F345" s="61"/>
      <c r="H345" s="61"/>
      <c r="J345" s="61"/>
      <c r="L345" s="61"/>
      <c r="N345" s="61"/>
      <c r="P345" s="61"/>
      <c r="R345" s="61"/>
      <c r="T345" s="61"/>
      <c r="V345" s="61"/>
      <c r="X345" s="61"/>
      <c r="Z345" s="61"/>
    </row>
    <row r="346" spans="6:26" x14ac:dyDescent="0.25">
      <c r="F346" s="61"/>
      <c r="H346" s="61"/>
      <c r="J346" s="61"/>
      <c r="L346" s="61"/>
      <c r="N346" s="61"/>
      <c r="P346" s="61"/>
      <c r="R346" s="61"/>
      <c r="T346" s="61"/>
      <c r="V346" s="61"/>
      <c r="X346" s="61"/>
      <c r="Z346" s="61"/>
    </row>
    <row r="347" spans="6:26" x14ac:dyDescent="0.25">
      <c r="F347" s="61"/>
      <c r="H347" s="61"/>
      <c r="J347" s="61"/>
      <c r="L347" s="61"/>
      <c r="N347" s="61"/>
      <c r="P347" s="61"/>
      <c r="R347" s="61"/>
      <c r="T347" s="61"/>
      <c r="V347" s="61"/>
      <c r="X347" s="61"/>
      <c r="Z347" s="61"/>
    </row>
    <row r="348" spans="6:26" x14ac:dyDescent="0.25">
      <c r="F348" s="61"/>
      <c r="H348" s="61"/>
      <c r="J348" s="61"/>
      <c r="L348" s="61"/>
      <c r="N348" s="61"/>
      <c r="P348" s="61"/>
      <c r="R348" s="61"/>
      <c r="T348" s="61"/>
      <c r="V348" s="61"/>
      <c r="X348" s="61"/>
      <c r="Z348" s="61"/>
    </row>
    <row r="349" spans="6:26" x14ac:dyDescent="0.25">
      <c r="F349" s="61"/>
      <c r="H349" s="61"/>
      <c r="J349" s="61"/>
      <c r="L349" s="61"/>
      <c r="N349" s="61"/>
      <c r="P349" s="61"/>
      <c r="R349" s="61"/>
      <c r="T349" s="61"/>
      <c r="V349" s="61"/>
      <c r="X349" s="61"/>
      <c r="Z349" s="61"/>
    </row>
    <row r="350" spans="6:26" x14ac:dyDescent="0.25">
      <c r="F350" s="61"/>
      <c r="H350" s="61"/>
      <c r="J350" s="61"/>
      <c r="L350" s="61"/>
      <c r="N350" s="61"/>
      <c r="P350" s="61"/>
      <c r="R350" s="61"/>
      <c r="T350" s="61"/>
      <c r="V350" s="61"/>
      <c r="X350" s="61"/>
      <c r="Z350" s="61"/>
    </row>
    <row r="351" spans="6:26" x14ac:dyDescent="0.25">
      <c r="F351" s="61"/>
      <c r="H351" s="61"/>
      <c r="J351" s="61"/>
      <c r="L351" s="61"/>
      <c r="N351" s="61"/>
      <c r="P351" s="61"/>
      <c r="R351" s="61"/>
      <c r="T351" s="61"/>
      <c r="V351" s="61"/>
      <c r="X351" s="61"/>
      <c r="Z351" s="61"/>
    </row>
    <row r="352" spans="6:26" x14ac:dyDescent="0.25">
      <c r="F352" s="61"/>
      <c r="H352" s="61"/>
      <c r="J352" s="61"/>
      <c r="L352" s="61"/>
      <c r="N352" s="61"/>
      <c r="P352" s="61"/>
      <c r="R352" s="61"/>
      <c r="T352" s="61"/>
      <c r="V352" s="61"/>
      <c r="X352" s="61"/>
      <c r="Z352" s="61"/>
    </row>
    <row r="353" spans="6:26" x14ac:dyDescent="0.25">
      <c r="F353" s="61"/>
      <c r="H353" s="61"/>
      <c r="J353" s="61"/>
      <c r="L353" s="61"/>
      <c r="N353" s="61"/>
      <c r="P353" s="61"/>
      <c r="R353" s="61"/>
      <c r="T353" s="61"/>
      <c r="V353" s="61"/>
      <c r="X353" s="61"/>
      <c r="Z353" s="61"/>
    </row>
    <row r="354" spans="6:26" x14ac:dyDescent="0.25">
      <c r="F354" s="61"/>
      <c r="H354" s="61"/>
      <c r="J354" s="61"/>
      <c r="L354" s="61"/>
      <c r="N354" s="61"/>
      <c r="P354" s="61"/>
      <c r="R354" s="61"/>
      <c r="T354" s="61"/>
      <c r="V354" s="61"/>
      <c r="X354" s="61"/>
      <c r="Z354" s="61"/>
    </row>
    <row r="355" spans="6:26" x14ac:dyDescent="0.25">
      <c r="F355" s="61"/>
      <c r="H355" s="61"/>
      <c r="J355" s="61"/>
      <c r="L355" s="61"/>
      <c r="N355" s="61"/>
      <c r="P355" s="61"/>
      <c r="R355" s="61"/>
      <c r="T355" s="61"/>
      <c r="V355" s="61"/>
      <c r="X355" s="61"/>
      <c r="Z355" s="61"/>
    </row>
    <row r="356" spans="6:26" x14ac:dyDescent="0.25">
      <c r="F356" s="61"/>
      <c r="H356" s="61"/>
      <c r="J356" s="61"/>
      <c r="L356" s="61"/>
      <c r="N356" s="61"/>
      <c r="P356" s="61"/>
      <c r="R356" s="61"/>
      <c r="T356" s="61"/>
      <c r="V356" s="61"/>
      <c r="X356" s="61"/>
      <c r="Z356" s="61"/>
    </row>
    <row r="357" spans="6:26" x14ac:dyDescent="0.25">
      <c r="F357" s="61"/>
      <c r="H357" s="61"/>
      <c r="J357" s="61"/>
      <c r="L357" s="61"/>
      <c r="N357" s="61"/>
      <c r="P357" s="61"/>
      <c r="R357" s="61"/>
      <c r="T357" s="61"/>
      <c r="V357" s="61"/>
      <c r="X357" s="61"/>
      <c r="Z357" s="61"/>
    </row>
    <row r="358" spans="6:26" x14ac:dyDescent="0.25">
      <c r="F358" s="61"/>
      <c r="H358" s="61"/>
      <c r="J358" s="61"/>
      <c r="L358" s="61"/>
      <c r="N358" s="61"/>
      <c r="P358" s="61"/>
      <c r="R358" s="61"/>
      <c r="T358" s="61"/>
      <c r="V358" s="61"/>
      <c r="X358" s="61"/>
      <c r="Z358" s="61"/>
    </row>
    <row r="359" spans="6:26" x14ac:dyDescent="0.25">
      <c r="F359" s="61"/>
      <c r="H359" s="61"/>
      <c r="J359" s="61"/>
      <c r="L359" s="61"/>
      <c r="N359" s="61"/>
      <c r="P359" s="61"/>
      <c r="R359" s="61"/>
      <c r="T359" s="61"/>
      <c r="V359" s="61"/>
      <c r="X359" s="61"/>
      <c r="Z359" s="61"/>
    </row>
    <row r="360" spans="6:26" x14ac:dyDescent="0.25">
      <c r="F360" s="61"/>
      <c r="H360" s="61"/>
      <c r="J360" s="61"/>
      <c r="L360" s="61"/>
      <c r="N360" s="61"/>
      <c r="P360" s="61"/>
      <c r="R360" s="61"/>
      <c r="T360" s="61"/>
      <c r="V360" s="61"/>
      <c r="X360" s="61"/>
      <c r="Z360" s="61"/>
    </row>
    <row r="361" spans="6:26" x14ac:dyDescent="0.25">
      <c r="F361" s="61"/>
      <c r="H361" s="61"/>
      <c r="J361" s="61"/>
      <c r="L361" s="61"/>
      <c r="N361" s="61"/>
      <c r="P361" s="61"/>
      <c r="R361" s="61"/>
      <c r="T361" s="61"/>
      <c r="V361" s="61"/>
      <c r="X361" s="61"/>
      <c r="Z361" s="61"/>
    </row>
    <row r="362" spans="6:26" x14ac:dyDescent="0.25">
      <c r="F362" s="61"/>
      <c r="H362" s="61"/>
      <c r="J362" s="61"/>
      <c r="L362" s="61"/>
      <c r="N362" s="61"/>
      <c r="P362" s="61"/>
      <c r="R362" s="61"/>
      <c r="T362" s="61"/>
      <c r="V362" s="61"/>
      <c r="X362" s="61"/>
      <c r="Z362" s="61"/>
    </row>
    <row r="363" spans="6:26" x14ac:dyDescent="0.25">
      <c r="F363" s="61"/>
      <c r="H363" s="61"/>
      <c r="J363" s="61"/>
      <c r="L363" s="61"/>
      <c r="N363" s="61"/>
      <c r="P363" s="61"/>
      <c r="R363" s="61"/>
      <c r="T363" s="61"/>
      <c r="V363" s="61"/>
      <c r="X363" s="61"/>
      <c r="Z363" s="61"/>
    </row>
    <row r="364" spans="6:26" x14ac:dyDescent="0.25">
      <c r="F364" s="61"/>
      <c r="H364" s="61"/>
      <c r="J364" s="61"/>
      <c r="L364" s="61"/>
      <c r="N364" s="61"/>
      <c r="P364" s="61"/>
      <c r="R364" s="61"/>
      <c r="T364" s="61"/>
      <c r="V364" s="61"/>
      <c r="X364" s="61"/>
      <c r="Z364" s="61"/>
    </row>
  </sheetData>
  <mergeCells count="54">
    <mergeCell ref="X1:Y1"/>
    <mergeCell ref="Z1:AA1"/>
    <mergeCell ref="AB1:AC1"/>
    <mergeCell ref="AD1:AE2"/>
    <mergeCell ref="A3:B5"/>
    <mergeCell ref="L1:M1"/>
    <mergeCell ref="N1:O1"/>
    <mergeCell ref="P1:Q1"/>
    <mergeCell ref="R1:S1"/>
    <mergeCell ref="T1:U1"/>
    <mergeCell ref="V1:W1"/>
    <mergeCell ref="A1:B2"/>
    <mergeCell ref="D1:D2"/>
    <mergeCell ref="E1:E2"/>
    <mergeCell ref="H1:I1"/>
    <mergeCell ref="F1:G1"/>
    <mergeCell ref="J1:K1"/>
    <mergeCell ref="A84:B86"/>
    <mergeCell ref="A88:B90"/>
    <mergeCell ref="A6:B8"/>
    <mergeCell ref="A9:B11"/>
    <mergeCell ref="A12:B14"/>
    <mergeCell ref="A15:B17"/>
    <mergeCell ref="A18:B20"/>
    <mergeCell ref="A21:B23"/>
    <mergeCell ref="A60:B62"/>
    <mergeCell ref="A28:B30"/>
    <mergeCell ref="A24:B27"/>
    <mergeCell ref="A31:B33"/>
    <mergeCell ref="A36:B38"/>
    <mergeCell ref="A34:B34"/>
    <mergeCell ref="A112:B114"/>
    <mergeCell ref="A51:B53"/>
    <mergeCell ref="A54:B56"/>
    <mergeCell ref="A57:B59"/>
    <mergeCell ref="A78:B80"/>
    <mergeCell ref="A81:B83"/>
    <mergeCell ref="A63:B65"/>
    <mergeCell ref="A66:B68"/>
    <mergeCell ref="A72:B74"/>
    <mergeCell ref="A69:B71"/>
    <mergeCell ref="A75:B77"/>
    <mergeCell ref="A91:B93"/>
    <mergeCell ref="A94:B96"/>
    <mergeCell ref="A97:B99"/>
    <mergeCell ref="A87:E87"/>
    <mergeCell ref="A100:B102"/>
    <mergeCell ref="A103:B105"/>
    <mergeCell ref="A106:B108"/>
    <mergeCell ref="A109:B111"/>
    <mergeCell ref="A39:B41"/>
    <mergeCell ref="A42:B44"/>
    <mergeCell ref="A45:B47"/>
    <mergeCell ref="A48:B50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746D-6B5E-4CD6-B22D-604F7860A600}">
  <dimension ref="A1:AI41"/>
  <sheetViews>
    <sheetView topLeftCell="A23" workbookViewId="0">
      <selection activeCell="A46" sqref="A46"/>
    </sheetView>
  </sheetViews>
  <sheetFormatPr defaultRowHeight="15" x14ac:dyDescent="0.25"/>
  <cols>
    <col min="1" max="1" width="48.5" style="133" customWidth="1"/>
    <col min="2" max="3" width="9.1640625" style="129" customWidth="1"/>
    <col min="4" max="4" width="8.5" style="129" customWidth="1"/>
    <col min="5" max="35" width="8.5" style="126" customWidth="1"/>
  </cols>
  <sheetData>
    <row r="1" spans="1:35" x14ac:dyDescent="0.2">
      <c r="A1" s="134" t="s">
        <v>124</v>
      </c>
      <c r="B1" s="136" t="s">
        <v>172</v>
      </c>
      <c r="C1" s="137" t="s">
        <v>173</v>
      </c>
      <c r="D1" s="138" t="s">
        <v>174</v>
      </c>
      <c r="E1" s="135">
        <v>45566</v>
      </c>
      <c r="F1" s="135">
        <v>45567</v>
      </c>
      <c r="G1" s="135">
        <v>45568</v>
      </c>
      <c r="H1" s="135">
        <v>45569</v>
      </c>
      <c r="I1" s="135">
        <v>45570</v>
      </c>
      <c r="J1" s="135">
        <v>45571</v>
      </c>
      <c r="K1" s="135">
        <v>45572</v>
      </c>
      <c r="L1" s="135">
        <v>45573</v>
      </c>
      <c r="M1" s="135">
        <v>45574</v>
      </c>
      <c r="N1" s="135">
        <v>45575</v>
      </c>
      <c r="O1" s="135">
        <v>45576</v>
      </c>
      <c r="P1" s="135">
        <v>45577</v>
      </c>
      <c r="Q1" s="135">
        <v>45578</v>
      </c>
      <c r="R1" s="135">
        <v>45579</v>
      </c>
      <c r="S1" s="135">
        <v>45580</v>
      </c>
      <c r="T1" s="135">
        <v>45581</v>
      </c>
      <c r="U1" s="135">
        <v>45582</v>
      </c>
      <c r="V1" s="135">
        <v>45583</v>
      </c>
      <c r="W1" s="135">
        <v>45584</v>
      </c>
      <c r="X1" s="135">
        <v>45585</v>
      </c>
      <c r="Y1" s="135">
        <v>45586</v>
      </c>
      <c r="Z1" s="135">
        <v>45587</v>
      </c>
      <c r="AA1" s="135">
        <v>45588</v>
      </c>
      <c r="AB1" s="135">
        <v>45589</v>
      </c>
      <c r="AC1" s="135">
        <v>45590</v>
      </c>
      <c r="AD1" s="135">
        <v>45591</v>
      </c>
      <c r="AE1" s="135">
        <v>45592</v>
      </c>
      <c r="AF1" s="135">
        <v>45593</v>
      </c>
      <c r="AG1" s="135">
        <v>45594</v>
      </c>
      <c r="AH1" s="135">
        <v>45595</v>
      </c>
      <c r="AI1" s="135">
        <v>45596</v>
      </c>
    </row>
    <row r="2" spans="1:35" ht="17.45" customHeight="1" x14ac:dyDescent="0.2">
      <c r="A2" s="141" t="s">
        <v>158</v>
      </c>
      <c r="B2" s="139">
        <f>'2024'!W46 + 1.25 - (COUNTIF(E2:AI2, "VL") * 1) - (COUNTIF(E2:AI2, "HDL") * 0.5)</f>
        <v>10.5</v>
      </c>
      <c r="C2" s="140">
        <f>'2024'!W47 + 0.416666666666666 - COUNTIF(E2:AI2, "SL")</f>
        <v>0.49999999999999939</v>
      </c>
      <c r="D2" s="138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</row>
    <row r="3" spans="1:35" ht="17.45" customHeight="1" x14ac:dyDescent="0.2">
      <c r="A3" s="141" t="s">
        <v>160</v>
      </c>
      <c r="B3" s="139">
        <f>'2024'!W52+1.25 - (COUNTIF(E3:AI3, "VL") * 1) - (COUNTIF(E3:AI3, "HDL") * 0.5)</f>
        <v>15.5</v>
      </c>
      <c r="C3" s="140">
        <f>'2024'!W53+0.416666666666666- COUNTIF(E3:AI3, "SL")</f>
        <v>1.4999999999999987</v>
      </c>
      <c r="D3" s="138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 t="s">
        <v>173</v>
      </c>
      <c r="Z3" s="127"/>
      <c r="AA3" s="127"/>
      <c r="AB3" s="127"/>
      <c r="AC3" s="127"/>
      <c r="AD3" s="127"/>
      <c r="AE3" s="127"/>
      <c r="AF3" s="127"/>
      <c r="AG3" s="127"/>
      <c r="AH3" s="127"/>
      <c r="AI3" s="127"/>
    </row>
    <row r="4" spans="1:35" ht="17.45" customHeight="1" x14ac:dyDescent="0.2">
      <c r="A4" s="141" t="s">
        <v>149</v>
      </c>
      <c r="B4" s="139">
        <f>'2024'!W19+1.25 -(COUNTIF(E4:AI4, "VL") * 1) - (COUNTIF(E4:AI4, "HDL") * 0.5)</f>
        <v>19.25</v>
      </c>
      <c r="C4" s="140">
        <f>'2024'!W20+0.416666666666666- COUNTIF(E4:AI4, "SL")</f>
        <v>8.4266666666666659</v>
      </c>
      <c r="D4" s="138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 t="s">
        <v>172</v>
      </c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</row>
    <row r="5" spans="1:35" ht="17.45" customHeight="1" x14ac:dyDescent="0.2">
      <c r="A5" s="141" t="s">
        <v>142</v>
      </c>
      <c r="B5" s="139">
        <f>'2024'!W4+1.25 -(COUNTIF(E5:AI5, "VL") * 1) - (COUNTIF(E5:AI5, "HDL") * 0.5)</f>
        <v>9</v>
      </c>
      <c r="C5" s="140">
        <f>'2024'!W5+0.416666666666666- COUNTIF(E5:AI5, "SL")</f>
        <v>5.8466666666666676</v>
      </c>
      <c r="D5" s="138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 t="s">
        <v>182</v>
      </c>
      <c r="V5" s="127"/>
      <c r="W5" s="127" t="s">
        <v>172</v>
      </c>
      <c r="X5" s="127"/>
      <c r="Y5" s="127" t="s">
        <v>172</v>
      </c>
      <c r="Z5" s="127"/>
      <c r="AA5" s="127"/>
      <c r="AB5" s="127"/>
      <c r="AC5" s="127"/>
      <c r="AD5" s="127"/>
      <c r="AE5" s="127"/>
      <c r="AF5" s="127" t="s">
        <v>172</v>
      </c>
      <c r="AG5" s="127"/>
      <c r="AH5" s="127"/>
      <c r="AI5" s="127"/>
    </row>
    <row r="6" spans="1:35" ht="12.75" x14ac:dyDescent="0.2">
      <c r="A6" s="141" t="s">
        <v>176</v>
      </c>
      <c r="B6" s="139">
        <f>6.25+1.25 - (COUNTIF(E6:AI6, "VL") * 1) - (COUNTIF(E6:AI6, "HDL") * 0.5)</f>
        <v>7.5</v>
      </c>
      <c r="C6" s="140">
        <f>2.08+0.416666666666666- COUNTIF(E6:AI6, "SL")</f>
        <v>2.4966666666666661</v>
      </c>
      <c r="D6" s="138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</row>
    <row r="7" spans="1:35" ht="17.45" customHeight="1" x14ac:dyDescent="0.2">
      <c r="A7" s="141" t="s">
        <v>178</v>
      </c>
      <c r="B7" s="139">
        <f>'2024'!W85+1.25 - (COUNTIF(E7:AI7, "VL") * 1) - (COUNTIF(E7:AI7, "HDL") * 0.5)</f>
        <v>10.25</v>
      </c>
      <c r="C7" s="140">
        <f>'2024'!W86+0.416666666666666- COUNTIF(E7:AI7, "SL")</f>
        <v>1.7499999999999991</v>
      </c>
      <c r="D7" s="13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 t="s">
        <v>172</v>
      </c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 t="s">
        <v>173</v>
      </c>
      <c r="AG7" s="127" t="s">
        <v>173</v>
      </c>
      <c r="AH7" s="127"/>
      <c r="AI7" s="127"/>
    </row>
    <row r="8" spans="1:35" ht="17.45" customHeight="1" x14ac:dyDescent="0.2">
      <c r="A8" s="141" t="s">
        <v>169</v>
      </c>
      <c r="B8" s="139">
        <f>'2024'!W76+1.25 - (COUNTIF(E8:AI8, "VL") * 1) - (COUNTIF(E8:AI8, "HDL") * 0.5)</f>
        <v>10.5</v>
      </c>
      <c r="C8" s="140">
        <f>'2024'!W77+0.416666666666666- COUNTIF(E8:AI8, "SL")</f>
        <v>1.8333333333333328</v>
      </c>
      <c r="D8" s="138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</row>
    <row r="9" spans="1:35" ht="17.45" customHeight="1" x14ac:dyDescent="0.2">
      <c r="A9" s="141" t="s">
        <v>162</v>
      </c>
      <c r="B9" s="139">
        <f>'2024'!W58+1.25 - (COUNTIF(E9:AI9, "VL") * 1) - (COUNTIF(E9:AI9, "HDL") * 0.5)</f>
        <v>11</v>
      </c>
      <c r="C9" s="140">
        <f>'2024'!W59+0.416666666666666- COUNTIF(E9:AI9, "SL")</f>
        <v>3.6666666666666652</v>
      </c>
      <c r="D9" s="138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 t="s">
        <v>172</v>
      </c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</row>
    <row r="10" spans="1:35" ht="12.75" x14ac:dyDescent="0.2">
      <c r="A10" s="141" t="s">
        <v>179</v>
      </c>
      <c r="B10" s="139">
        <f>6.25+1.25 - (COUNTIF(E10:AI10, "VL") * 1) - (COUNTIF(E10:AI10, "HDL") * 0.5)</f>
        <v>6.5</v>
      </c>
      <c r="C10" s="140">
        <f>2.08+0.416666666666666- COUNTIF(E10:AI10, "SL")</f>
        <v>2.4966666666666661</v>
      </c>
      <c r="D10" s="138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27" t="s">
        <v>172</v>
      </c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</row>
    <row r="11" spans="1:35" ht="17.45" customHeight="1" x14ac:dyDescent="0.2">
      <c r="A11" s="141" t="s">
        <v>151</v>
      </c>
      <c r="B11" s="139">
        <f>'2024'!W25+1.25 - (COUNTIF(E11:AI11, "VL") * 1) - (COUNTIF(E11:AI11, "HDL") * 0.5)</f>
        <v>18.75</v>
      </c>
      <c r="C11" s="140">
        <f>'2024'!W26+0.416666666666666- COUNTIF(E11:AI11, "SL")</f>
        <v>0.42666666666666625</v>
      </c>
      <c r="D11" s="145">
        <f>'2024'!W27- COUNTIF(E11:AI11, "SPL")</f>
        <v>6.1666666666666661</v>
      </c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 t="s">
        <v>172</v>
      </c>
      <c r="T11" s="127" t="s">
        <v>172</v>
      </c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  <c r="AI11" s="127"/>
    </row>
    <row r="12" spans="1:35" ht="17.45" customHeight="1" x14ac:dyDescent="0.2">
      <c r="A12" s="141" t="s">
        <v>152</v>
      </c>
      <c r="B12" s="139">
        <f>'2024'!W29+0.125 - (COUNTIF(E12:AI12, "VL") * 1) - (COUNTIF(E12:AI12, "HDL") * 0.5)</f>
        <v>8.125</v>
      </c>
      <c r="C12" s="140">
        <f>'2024'!W30+0.416666666666666- COUNTIF(E12:AI12, "SL")</f>
        <v>8.4266666666666659</v>
      </c>
      <c r="D12" s="138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 t="s">
        <v>173</v>
      </c>
      <c r="AC12" s="127" t="s">
        <v>173</v>
      </c>
      <c r="AD12" s="127"/>
      <c r="AE12" s="127"/>
      <c r="AF12" s="127"/>
      <c r="AG12" s="127"/>
      <c r="AH12" s="127"/>
      <c r="AI12" s="127"/>
    </row>
    <row r="13" spans="1:35" ht="17.45" customHeight="1" x14ac:dyDescent="0.2">
      <c r="A13" s="141" t="s">
        <v>170</v>
      </c>
      <c r="B13" s="139">
        <f>'2024'!W79+1.25 - (COUNTIF(E13:AI13, "VL") * 1) - (COUNTIF(E13:AI13, "HDL") * 0.5)</f>
        <v>14.5</v>
      </c>
      <c r="C13" s="140">
        <f>'2024'!W80+0.416666666666666- COUNTIF(E13:AI13, "SL")</f>
        <v>0.83333333333333237</v>
      </c>
      <c r="D13" s="138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 t="s">
        <v>173</v>
      </c>
      <c r="AC13" s="127"/>
      <c r="AD13" s="127"/>
      <c r="AE13" s="127"/>
      <c r="AF13" s="127"/>
      <c r="AG13" s="127"/>
      <c r="AH13" s="127"/>
      <c r="AI13" s="127"/>
    </row>
    <row r="14" spans="1:35" ht="17.45" customHeight="1" x14ac:dyDescent="0.2">
      <c r="A14" s="141" t="s">
        <v>145</v>
      </c>
      <c r="B14" s="139">
        <f>5+1.25 - (COUNTIF(E14:AI14, "VL") * 1) - (COUNTIF(E14:AI14, "HDL") * 0.5)</f>
        <v>1.25</v>
      </c>
      <c r="C14" s="140">
        <f>1+0.416666666666666- COUNTIF(E14:AI14, "SL")</f>
        <v>0.41666666666666607</v>
      </c>
      <c r="D14" s="138"/>
      <c r="E14" s="127" t="s">
        <v>173</v>
      </c>
      <c r="F14" s="127" t="s">
        <v>172</v>
      </c>
      <c r="G14" s="127" t="s">
        <v>172</v>
      </c>
      <c r="H14" s="127" t="s">
        <v>172</v>
      </c>
      <c r="I14" s="127" t="s">
        <v>172</v>
      </c>
      <c r="J14" s="127" t="s">
        <v>172</v>
      </c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</row>
    <row r="15" spans="1:35" ht="17.45" customHeight="1" x14ac:dyDescent="0.2">
      <c r="A15" s="141" t="s">
        <v>165</v>
      </c>
      <c r="B15" s="139">
        <f>'2024'!W64+1.25 - (COUNTIF(E15:AI15, "VL") * 1) - (COUNTIF(E15:AI15, "HDL") * 0.5)</f>
        <v>16.75</v>
      </c>
      <c r="C15" s="140">
        <f>'2024'!W65+0.416666666666666- COUNTIF(E15:AI15, "SL")</f>
        <v>5.25</v>
      </c>
      <c r="D15" s="138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</row>
    <row r="16" spans="1:35" ht="17.45" customHeight="1" x14ac:dyDescent="0.2">
      <c r="A16" s="141" t="s">
        <v>150</v>
      </c>
      <c r="B16" s="139">
        <f>'2024'!W22+1.25 - (COUNTIF(E16:AI16, "VL") * 1) - (COUNTIF(E16:AI16, "HDL") * 0.5)</f>
        <v>12.75</v>
      </c>
      <c r="C16" s="140">
        <f>'2024'!W23+0.416666666666666- COUNTIF(E16:AI16, "SL")</f>
        <v>1.4266666666666659</v>
      </c>
      <c r="D16" s="138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 t="s">
        <v>173</v>
      </c>
      <c r="Y16" s="127" t="s">
        <v>173</v>
      </c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</row>
    <row r="17" spans="1:35" ht="17.45" customHeight="1" x14ac:dyDescent="0.2">
      <c r="A17" s="141" t="s">
        <v>147</v>
      </c>
      <c r="B17" s="139">
        <f>'2024'!W13+1.25 - (COUNTIF(E17:AI17, "VL") * 1) - (COUNTIF(E17:AI17, "HDL") * 0.5)</f>
        <v>21</v>
      </c>
      <c r="C17" s="140">
        <f>'2024'!W14+0.416666666666666- COUNTIF(E17:AI17, "SL")</f>
        <v>8.8466666666666676</v>
      </c>
      <c r="D17" s="138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</row>
    <row r="18" spans="1:35" ht="17.45" customHeight="1" x14ac:dyDescent="0.2">
      <c r="A18" s="141" t="s">
        <v>168</v>
      </c>
      <c r="B18" s="139">
        <f>'2024'!W73+1.25 - (COUNTIF(E18:AI18, "VL") * 1) - (COUNTIF(E18:AI18, "HDL") * 0.5)</f>
        <v>15.5</v>
      </c>
      <c r="C18" s="140">
        <f>'2024'!W74+0.416666666666666- COUNTIF(E18:AI18, "SL")</f>
        <v>1.8333333333333321</v>
      </c>
      <c r="D18" s="138"/>
      <c r="E18" s="127" t="s">
        <v>172</v>
      </c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</row>
    <row r="19" spans="1:35" ht="17.45" customHeight="1" x14ac:dyDescent="0.2">
      <c r="A19" s="141" t="s">
        <v>156</v>
      </c>
      <c r="B19" s="139">
        <f>'2024'!W40+1.25 -(COUNTIF(E19:AI19, "VL") * 1) - (COUNTIF(E19:AI19, "HDL") * 0.5)</f>
        <v>3.75</v>
      </c>
      <c r="C19" s="140">
        <f>'2024'!W41+0.416666666666666- COUNTIF(E19:AI19, "SL")</f>
        <v>1.9166666666666652</v>
      </c>
      <c r="D19" s="138"/>
      <c r="E19" s="127" t="s">
        <v>172</v>
      </c>
      <c r="F19" s="127"/>
      <c r="G19" s="127"/>
      <c r="H19" s="127" t="s">
        <v>172</v>
      </c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 t="s">
        <v>182</v>
      </c>
      <c r="U19" s="127" t="s">
        <v>182</v>
      </c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 t="s">
        <v>217</v>
      </c>
      <c r="AG19" s="127"/>
      <c r="AH19" s="127" t="s">
        <v>182</v>
      </c>
      <c r="AI19" s="127"/>
    </row>
    <row r="20" spans="1:35" ht="17.45" customHeight="1" x14ac:dyDescent="0.2">
      <c r="A20" s="141" t="s">
        <v>146</v>
      </c>
      <c r="B20" s="139">
        <f>'2024'!W10+1.25 - -(COUNTIF(E20:AI20, "VL") * 1) - (COUNTIF(E20:AI20, "HDL") * 0.5)</f>
        <v>16.5</v>
      </c>
      <c r="C20" s="140">
        <f>'2024'!W11+0.416666666666666- COUNTIF(E20:AI20, "SL")</f>
        <v>0.84666666666666668</v>
      </c>
      <c r="D20" s="138"/>
      <c r="E20" s="127"/>
      <c r="F20" s="127"/>
      <c r="G20" s="127"/>
      <c r="H20" s="127"/>
      <c r="I20" s="127"/>
      <c r="J20" s="127" t="s">
        <v>173</v>
      </c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 t="s">
        <v>172</v>
      </c>
      <c r="AB20" s="127"/>
      <c r="AC20" s="127"/>
      <c r="AD20" s="127"/>
      <c r="AE20" s="127"/>
      <c r="AF20" s="127"/>
      <c r="AG20" s="127"/>
      <c r="AH20" s="127"/>
      <c r="AI20" s="127"/>
    </row>
    <row r="21" spans="1:35" ht="17.45" customHeight="1" x14ac:dyDescent="0.2">
      <c r="A21" s="141" t="s">
        <v>157</v>
      </c>
      <c r="B21" s="139">
        <f>'2024'!W43+1.25 -(COUNTIF(E21:AI21, "VL") * 1) - (COUNTIF(E21:AI21, "HDL") * 0.5)</f>
        <v>6.75</v>
      </c>
      <c r="C21" s="140">
        <f>'2024'!W44+0.416666666666666- COUNTIF(E21:AI21, "SL")</f>
        <v>0.91666666666666541</v>
      </c>
      <c r="D21" s="138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 t="s">
        <v>173</v>
      </c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</row>
    <row r="22" spans="1:35" ht="17.45" customHeight="1" x14ac:dyDescent="0.2">
      <c r="A22" s="141" t="s">
        <v>161</v>
      </c>
      <c r="B22" s="139">
        <f>'2024'!W55+1.25 - (COUNTIF(E22:AI22, "VL") * 1) - (COUNTIF(E22:AI22, "HDL") * 0.5)</f>
        <v>1</v>
      </c>
      <c r="C22" s="140">
        <f>'2024'!W56+0.416666666666666- COUNTIF(E22:AI22, "SL")</f>
        <v>0.6666666666666653</v>
      </c>
      <c r="D22" s="138"/>
      <c r="E22" s="127"/>
      <c r="F22" s="127"/>
      <c r="G22" s="127"/>
      <c r="H22" s="127"/>
      <c r="I22" s="127"/>
      <c r="J22" s="127"/>
      <c r="K22" s="127"/>
      <c r="L22" s="127"/>
      <c r="M22" s="127" t="s">
        <v>182</v>
      </c>
      <c r="N22" s="127"/>
      <c r="O22" s="127" t="s">
        <v>172</v>
      </c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7" t="s">
        <v>182</v>
      </c>
      <c r="AH22" s="127"/>
      <c r="AI22" s="127"/>
    </row>
    <row r="23" spans="1:35" ht="17.45" customHeight="1" x14ac:dyDescent="0.2">
      <c r="A23" s="141" t="s">
        <v>167</v>
      </c>
      <c r="B23" s="139">
        <f>'2024'!W70+1.25 - (COUNTIF(E23:AI23, "VL") * 1) - (COUNTIF(E23:AI23, "HDL") * 0.5)</f>
        <v>9.75</v>
      </c>
      <c r="C23" s="140">
        <f>'2024'!W71+0.416666666666666- COUNTIF(E23:AI23, "SL")</f>
        <v>4.25</v>
      </c>
      <c r="D23" s="138"/>
      <c r="E23" s="127" t="s">
        <v>172</v>
      </c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 t="s">
        <v>172</v>
      </c>
      <c r="Z23" s="127" t="s">
        <v>172</v>
      </c>
      <c r="AA23" s="127" t="s">
        <v>172</v>
      </c>
      <c r="AB23" s="127" t="s">
        <v>173</v>
      </c>
      <c r="AC23" s="127" t="s">
        <v>173</v>
      </c>
      <c r="AD23" s="127"/>
      <c r="AE23" s="127"/>
      <c r="AF23" s="127"/>
      <c r="AG23" s="127"/>
      <c r="AH23" s="127"/>
      <c r="AI23" s="127"/>
    </row>
    <row r="24" spans="1:35" ht="17.45" customHeight="1" x14ac:dyDescent="0.2">
      <c r="A24" s="141" t="s">
        <v>159</v>
      </c>
      <c r="B24" s="139">
        <f>'2024'!W49+1.25 - (COUNTIF(E24:AI24, "VL") * 1) - (COUNTIF(E24:AI24, "HDL") * 0.5)</f>
        <v>13.5</v>
      </c>
      <c r="C24" s="140">
        <f>'2024'!W50+0.416666666666666- COUNTIF(E24:AI24, "SL")</f>
        <v>1.4999999999999987</v>
      </c>
      <c r="D24" s="138"/>
      <c r="E24" s="127"/>
      <c r="F24" s="127"/>
      <c r="G24" s="127"/>
      <c r="H24" s="127"/>
      <c r="I24" s="127"/>
      <c r="J24" s="127"/>
      <c r="K24" s="127"/>
      <c r="L24" s="127" t="s">
        <v>173</v>
      </c>
      <c r="M24" s="127"/>
      <c r="N24" s="127" t="s">
        <v>173</v>
      </c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</row>
    <row r="25" spans="1:35" ht="17.45" customHeight="1" x14ac:dyDescent="0.2">
      <c r="A25" s="141" t="s">
        <v>185</v>
      </c>
      <c r="B25" s="139">
        <f>'2024'!W61+1.25 - (COUNTIF(E25:AI25, "VL") * 1) - (COUNTIF(E25:AI25, "HDL") * 0.5)</f>
        <v>9</v>
      </c>
      <c r="C25" s="140">
        <f>'2024'!W62+0.416666666666666- COUNTIF(E25:AI25, "SL")</f>
        <v>3.6666666666666652</v>
      </c>
      <c r="D25" s="138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</row>
    <row r="26" spans="1:35" ht="17.45" customHeight="1" x14ac:dyDescent="0.2">
      <c r="A26" s="141" t="s">
        <v>148</v>
      </c>
      <c r="B26" s="139">
        <f>'2024'!W16+1.25 - (COUNTIF(E26:AI26, "VL") * 1) - (COUNTIF(E26:AI26, "HDL") * 0.5)</f>
        <v>11</v>
      </c>
      <c r="C26" s="140">
        <f>'2024'!W17+0.416666666666666- COUNTIF(E26:AI26, "SL")</f>
        <v>0.84666666666666501</v>
      </c>
      <c r="D26" s="138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 t="s">
        <v>172</v>
      </c>
      <c r="V26" s="127" t="s">
        <v>172</v>
      </c>
      <c r="W26" s="127"/>
      <c r="X26" s="127"/>
      <c r="Y26" s="127"/>
      <c r="Z26" s="127"/>
      <c r="AA26" s="127"/>
      <c r="AB26" s="127"/>
      <c r="AC26" s="127" t="s">
        <v>172</v>
      </c>
      <c r="AD26" s="127"/>
      <c r="AE26" s="127"/>
      <c r="AF26" s="127"/>
      <c r="AG26" s="127"/>
      <c r="AH26" s="127"/>
      <c r="AI26" s="127"/>
    </row>
    <row r="27" spans="1:35" ht="17.45" customHeight="1" x14ac:dyDescent="0.2">
      <c r="A27" s="141" t="s">
        <v>171</v>
      </c>
      <c r="B27" s="139">
        <f>'2024'!W82+1.25 - (COUNTIF(E27:AI27, "VL") * 1) - (COUNTIF(E27:AI27, "HDL") * 0.5)</f>
        <v>14</v>
      </c>
      <c r="C27" s="140">
        <f>'2024'!W83+0.416666666666666- COUNTIF(E27:AI27, "SL")</f>
        <v>4.9999999999999991</v>
      </c>
      <c r="D27" s="138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</row>
    <row r="28" spans="1:35" ht="17.45" customHeight="1" x14ac:dyDescent="0.2">
      <c r="A28" s="125" t="s">
        <v>186</v>
      </c>
      <c r="B28" s="139">
        <f>6.25+1.25 - (COUNTIF(E28:AI28, "VL") * 1) - (COUNTIF(E28:AI28, "HDL") * 0.5)</f>
        <v>5.5</v>
      </c>
      <c r="C28" s="140">
        <f>2.08+0.416666666666666- COUNTIF(E28:AI28, "SL")</f>
        <v>2.4966666666666661</v>
      </c>
      <c r="D28" s="138"/>
      <c r="E28" s="127"/>
      <c r="F28" s="127"/>
      <c r="G28" s="127" t="s">
        <v>172</v>
      </c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 t="s">
        <v>172</v>
      </c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</row>
    <row r="29" spans="1:35" ht="17.45" customHeight="1" x14ac:dyDescent="0.2">
      <c r="A29" s="141" t="s">
        <v>187</v>
      </c>
      <c r="B29" s="139">
        <f>6.25+1.25 - (COUNTIF(E29:AI29, "VL") * 1) - (COUNTIF(E29:AI29, "HDL") * 0.5)</f>
        <v>7.5</v>
      </c>
      <c r="C29" s="140">
        <f>2.08+0.416666666666666- COUNTIF(E29:AI29, "SL")</f>
        <v>2.4966666666666661</v>
      </c>
      <c r="D29" s="138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</row>
    <row r="30" spans="1:35" ht="17.45" customHeight="1" x14ac:dyDescent="0.2">
      <c r="A30" s="141" t="s">
        <v>154</v>
      </c>
      <c r="B30" s="139">
        <f>'2024'!W34+1.25 - (COUNTIF(E30:AI30, "VL") * 1) - (COUNTIF(E30:AI30, "HDL") * 0.5)</f>
        <v>6.75</v>
      </c>
      <c r="C30" s="140">
        <f>'2024'!W35+0.416666666666666- COUNTIF(E30:AI30, "SL")</f>
        <v>3.916666666666667</v>
      </c>
      <c r="D30" s="138"/>
      <c r="E30" s="127" t="s">
        <v>182</v>
      </c>
      <c r="F30" s="127"/>
      <c r="G30" s="127"/>
      <c r="H30" s="127" t="s">
        <v>173</v>
      </c>
      <c r="I30" s="127"/>
      <c r="J30" s="127"/>
      <c r="K30" s="127"/>
      <c r="L30" s="127"/>
      <c r="M30" s="127"/>
      <c r="N30" s="127"/>
      <c r="O30" s="127" t="s">
        <v>182</v>
      </c>
      <c r="P30" s="127"/>
      <c r="Q30" s="127"/>
      <c r="R30" s="127" t="s">
        <v>173</v>
      </c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</row>
    <row r="31" spans="1:35" ht="17.45" customHeight="1" x14ac:dyDescent="0.2">
      <c r="A31" s="141" t="s">
        <v>153</v>
      </c>
      <c r="B31" s="139">
        <f>'2024'!W32+1.25 - (COUNTIF(E31:AI31, "VL") * 1) - (COUNTIF(E31:AI31, "HDL") * 0.5)</f>
        <v>18.25</v>
      </c>
      <c r="C31" s="140">
        <f>'2024'!W33+0.416666666666666- COUNTIF(E31:AI31, "SL")</f>
        <v>5.7500000000000018</v>
      </c>
      <c r="D31" s="138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 t="s">
        <v>173</v>
      </c>
      <c r="V31" s="127" t="s">
        <v>173</v>
      </c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</row>
    <row r="32" spans="1:35" ht="17.45" customHeight="1" x14ac:dyDescent="0.2">
      <c r="A32" s="141" t="s">
        <v>155</v>
      </c>
      <c r="B32" s="139">
        <f>'2024'!W37+1.25 - (COUNTIF(E32:AI32, "VL") * 1) - (COUNTIF(E32:AI32, "HDL") * 0.5)</f>
        <v>2.25</v>
      </c>
      <c r="C32" s="140">
        <f>'2024'!W38+0.416666666666666- COUNTIF(E32:AI32, "SL")</f>
        <v>2.416666666666667</v>
      </c>
      <c r="D32" s="138"/>
      <c r="E32" s="127"/>
      <c r="F32" s="127"/>
      <c r="G32" s="127"/>
      <c r="H32" s="127"/>
      <c r="I32" s="127"/>
      <c r="J32" s="127"/>
      <c r="K32" s="127"/>
      <c r="L32" s="127"/>
      <c r="M32" s="127"/>
      <c r="N32" s="127" t="s">
        <v>172</v>
      </c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</row>
    <row r="33" spans="1:35" ht="17.45" customHeight="1" x14ac:dyDescent="0.2">
      <c r="A33" s="141" t="s">
        <v>166</v>
      </c>
      <c r="B33" s="139">
        <f>'2024'!W67+1.25 - (COUNTIF(E33:AI33, "VL") * 1) - (COUNTIF(E33:AI33, "HDL") * 0.5)</f>
        <v>18.75</v>
      </c>
      <c r="C33" s="140">
        <f>'2024'!W68+0.416666666666666- COUNTIF(E33:AI33, "SL")</f>
        <v>1.2499999999999989</v>
      </c>
      <c r="D33" s="138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</row>
    <row r="34" spans="1:35" x14ac:dyDescent="0.2">
      <c r="A34" s="131"/>
    </row>
    <row r="35" spans="1:35" x14ac:dyDescent="0.2">
      <c r="A35" s="132"/>
      <c r="B35" s="130"/>
      <c r="C35" s="130"/>
      <c r="D35" s="130"/>
    </row>
    <row r="36" spans="1:35" x14ac:dyDescent="0.2">
      <c r="A36" s="125" t="s">
        <v>211</v>
      </c>
      <c r="B36" s="147">
        <f>1.25*6- (COUNTIF(E36:AI36, "VL") * 1) - (COUNTIF(E36:AI36, "HDL") * 0.5)</f>
        <v>7.5</v>
      </c>
      <c r="C36" s="148">
        <f>0.416666666666666*6- COUNTIF(E36:AI36, "SL")</f>
        <v>1.499999999999996</v>
      </c>
      <c r="D36" s="128"/>
      <c r="W36" s="126" t="s">
        <v>173</v>
      </c>
    </row>
    <row r="37" spans="1:35" x14ac:dyDescent="0.2">
      <c r="A37" s="125" t="s">
        <v>212</v>
      </c>
      <c r="B37" s="147">
        <f t="shared" ref="B37:B41" si="0">1.25*6- (COUNTIF(E37:AI37, "VL") * 1) - (COUNTIF(E37:AI37, "HDL") * 0.5)</f>
        <v>7.5</v>
      </c>
      <c r="C37" s="148">
        <f t="shared" ref="C37:C41" si="1">0.416666666666666*6- COUNTIF(E37:AI37, "SL")</f>
        <v>2.499999999999996</v>
      </c>
      <c r="D37" s="128">
        <f>7- COUNTIF(E37:AH37, "SPL")</f>
        <v>5</v>
      </c>
      <c r="W37" s="126" t="s">
        <v>174</v>
      </c>
      <c r="AH37" s="126" t="s">
        <v>174</v>
      </c>
    </row>
    <row r="38" spans="1:35" x14ac:dyDescent="0.2">
      <c r="A38" s="125" t="s">
        <v>215</v>
      </c>
      <c r="B38" s="147">
        <f t="shared" si="0"/>
        <v>6.5</v>
      </c>
      <c r="C38" s="148">
        <f t="shared" si="1"/>
        <v>1.499999999999996</v>
      </c>
      <c r="D38" s="128"/>
      <c r="W38" s="126" t="s">
        <v>172</v>
      </c>
      <c r="AA38" s="126" t="s">
        <v>173</v>
      </c>
    </row>
    <row r="39" spans="1:35" ht="12.75" x14ac:dyDescent="0.2">
      <c r="A39" s="141" t="s">
        <v>213</v>
      </c>
      <c r="B39" s="147">
        <f t="shared" si="0"/>
        <v>7.5</v>
      </c>
      <c r="C39" s="148">
        <f t="shared" si="1"/>
        <v>2.499999999999996</v>
      </c>
      <c r="D39" s="138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/>
    </row>
    <row r="40" spans="1:35" ht="12.75" x14ac:dyDescent="0.2">
      <c r="A40" s="141" t="s">
        <v>215</v>
      </c>
      <c r="B40" s="147">
        <f t="shared" si="0"/>
        <v>7.5</v>
      </c>
      <c r="C40" s="148">
        <f t="shared" si="1"/>
        <v>2.499999999999996</v>
      </c>
      <c r="D40" s="138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/>
    </row>
    <row r="41" spans="1:35" ht="12.75" x14ac:dyDescent="0.2">
      <c r="A41" s="141" t="s">
        <v>216</v>
      </c>
      <c r="B41" s="147">
        <f t="shared" si="0"/>
        <v>7.5</v>
      </c>
      <c r="C41" s="148">
        <f t="shared" si="1"/>
        <v>2.499999999999996</v>
      </c>
      <c r="D41" s="138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/>
    </row>
  </sheetData>
  <sheetProtection sheet="1" objects="1" scenarios="1"/>
  <sortState xmlns:xlrd2="http://schemas.microsoft.com/office/spreadsheetml/2017/richdata2" ref="A2:D33">
    <sortCondition ref="A2:A3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18D6-BFBF-48C3-AE06-1F73810C7A9B}">
  <dimension ref="A1:AI37"/>
  <sheetViews>
    <sheetView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52.1640625" style="133" customWidth="1"/>
    <col min="2" max="3" width="9.1640625" style="129" customWidth="1"/>
    <col min="4" max="4" width="8.5" style="129" customWidth="1"/>
    <col min="5" max="34" width="8.5" style="126" customWidth="1"/>
  </cols>
  <sheetData>
    <row r="1" spans="1:35" x14ac:dyDescent="0.2">
      <c r="A1" s="134" t="s">
        <v>124</v>
      </c>
      <c r="B1" s="136" t="s">
        <v>172</v>
      </c>
      <c r="C1" s="137" t="s">
        <v>173</v>
      </c>
      <c r="D1" s="138" t="s">
        <v>174</v>
      </c>
      <c r="E1" s="135">
        <v>45597</v>
      </c>
      <c r="F1" s="135">
        <v>45598</v>
      </c>
      <c r="G1" s="135">
        <v>45599</v>
      </c>
      <c r="H1" s="135">
        <v>45600</v>
      </c>
      <c r="I1" s="135">
        <v>45601</v>
      </c>
      <c r="J1" s="135">
        <v>45602</v>
      </c>
      <c r="K1" s="135">
        <v>45603</v>
      </c>
      <c r="L1" s="135">
        <v>45604</v>
      </c>
      <c r="M1" s="135">
        <v>45605</v>
      </c>
      <c r="N1" s="135">
        <v>45606</v>
      </c>
      <c r="O1" s="135">
        <v>45607</v>
      </c>
      <c r="P1" s="135">
        <v>45608</v>
      </c>
      <c r="Q1" s="135">
        <v>45609</v>
      </c>
      <c r="R1" s="135">
        <v>45610</v>
      </c>
      <c r="S1" s="135">
        <v>45611</v>
      </c>
      <c r="T1" s="135">
        <v>45612</v>
      </c>
      <c r="U1" s="135">
        <v>45613</v>
      </c>
      <c r="V1" s="135">
        <v>45614</v>
      </c>
      <c r="W1" s="135">
        <v>45615</v>
      </c>
      <c r="X1" s="135">
        <v>45616</v>
      </c>
      <c r="Y1" s="135">
        <v>45617</v>
      </c>
      <c r="Z1" s="135">
        <v>45618</v>
      </c>
      <c r="AA1" s="135">
        <v>45619</v>
      </c>
      <c r="AB1" s="135">
        <v>45620</v>
      </c>
      <c r="AC1" s="135">
        <v>45621</v>
      </c>
      <c r="AD1" s="135">
        <v>45622</v>
      </c>
      <c r="AE1" s="135">
        <v>45623</v>
      </c>
      <c r="AF1" s="135">
        <v>45624</v>
      </c>
      <c r="AG1" s="135">
        <v>45625</v>
      </c>
      <c r="AH1" s="135">
        <v>45626</v>
      </c>
    </row>
    <row r="2" spans="1:35" ht="18.75" customHeight="1" x14ac:dyDescent="0.2">
      <c r="A2" s="141" t="s">
        <v>158</v>
      </c>
      <c r="B2" s="139">
        <f>OCT!B2 + 1.25 - (COUNTIF(E2:AH2, "VL") * 1) - (COUNTIF(E2:AH2, "HDL") * 0.5)</f>
        <v>9.75</v>
      </c>
      <c r="C2" s="140">
        <f>OCT!C2+ 0.416666666666666 - COUNTIF(E2:AH2, "SL")</f>
        <v>0.91666666666666541</v>
      </c>
      <c r="D2" s="138"/>
      <c r="E2" s="127"/>
      <c r="F2" s="127"/>
      <c r="G2" s="127"/>
      <c r="H2" s="127"/>
      <c r="I2" s="127"/>
      <c r="J2" s="127"/>
      <c r="K2" s="127"/>
      <c r="L2" s="127"/>
      <c r="M2" s="127" t="s">
        <v>172</v>
      </c>
      <c r="N2" s="127"/>
      <c r="O2" s="127"/>
      <c r="P2" s="127" t="s">
        <v>172</v>
      </c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</row>
    <row r="3" spans="1:35" ht="18.75" customHeight="1" x14ac:dyDescent="0.2">
      <c r="A3" s="141" t="s">
        <v>160</v>
      </c>
      <c r="B3" s="139">
        <f>OCT!B3 + 1.25 - (COUNTIF(E3:AH3, "VL") * 1) - (COUNTIF(E3:AH3, "HDL") * 0.5)</f>
        <v>16.75</v>
      </c>
      <c r="C3" s="140">
        <f>OCT!C3+ 0.416666666666666 - COUNTIF(E3:AH3, "SL")</f>
        <v>0.91666666666666474</v>
      </c>
      <c r="D3" s="138"/>
      <c r="E3" s="127"/>
      <c r="F3" s="127"/>
      <c r="G3" s="127"/>
      <c r="H3" s="127" t="s">
        <v>173</v>
      </c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</row>
    <row r="4" spans="1:35" ht="18.75" customHeight="1" x14ac:dyDescent="0.2">
      <c r="A4" s="141" t="s">
        <v>149</v>
      </c>
      <c r="B4" s="139">
        <f>OCT!B4 + 1.25 - (COUNTIF(E4:AH4, "VL") * 1) - (COUNTIF(E4:AH4, "HDL") * 0.5)</f>
        <v>20.5</v>
      </c>
      <c r="C4" s="140">
        <f>OCT!C4+ 0.416666666666666 - COUNTIF(E4:AH4, "SL")</f>
        <v>7.8433333333333319</v>
      </c>
      <c r="D4" s="138"/>
      <c r="E4" s="127"/>
      <c r="F4" s="127"/>
      <c r="G4" s="127"/>
      <c r="H4" s="127"/>
      <c r="I4" s="127" t="s">
        <v>173</v>
      </c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</row>
    <row r="5" spans="1:35" ht="18.75" customHeight="1" x14ac:dyDescent="0.2">
      <c r="A5" s="141" t="s">
        <v>142</v>
      </c>
      <c r="B5" s="139">
        <f>OCT!B5 + 1.25 - (COUNTIF(E5:AH5, "VL") * 1) - (COUNTIF(E5:AH5, "HDL") * 0.5)</f>
        <v>9.25</v>
      </c>
      <c r="C5" s="140">
        <f>OCT!C5+ 0.416666666666666 - COUNTIF(E5:AH5, "SL")</f>
        <v>5.2633333333333336</v>
      </c>
      <c r="D5" s="138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 t="s">
        <v>172</v>
      </c>
      <c r="W5" s="127" t="s">
        <v>173</v>
      </c>
      <c r="X5" s="127"/>
      <c r="Y5" s="127"/>
      <c r="Z5" s="127"/>
      <c r="AA5" s="127"/>
      <c r="AB5" s="127"/>
      <c r="AC5" s="127"/>
      <c r="AD5" s="127"/>
      <c r="AE5" s="127"/>
      <c r="AF5" s="127"/>
      <c r="AG5" s="127"/>
      <c r="AH5" s="127"/>
    </row>
    <row r="6" spans="1:35" ht="18.75" customHeight="1" x14ac:dyDescent="0.2">
      <c r="A6" s="141" t="s">
        <v>176</v>
      </c>
      <c r="B6" s="139">
        <f>OCT!B39+1.25- (COUNTIF(E6:AH6, "VL") * 1) - (COUNTIF(E6:AH6, "HDL") * 0.5)</f>
        <v>8.75</v>
      </c>
      <c r="C6" s="140">
        <f>OCT!C39+0.416666666666666- COUNTIF(E6:AH6, "SL")</f>
        <v>2.9166666666666621</v>
      </c>
      <c r="D6" s="138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</row>
    <row r="7" spans="1:35" ht="18.75" customHeight="1" x14ac:dyDescent="0.2">
      <c r="A7" s="141" t="s">
        <v>177</v>
      </c>
      <c r="B7" s="139">
        <f>1.25*6- (COUNTIF(E7:AH7, "VL") * 1) - (COUNTIF(E7:AH7, "HDL") * 0.5)</f>
        <v>7.5</v>
      </c>
      <c r="C7" s="140">
        <f>0.416666666666666*6- COUNTIF(E7:AH7, "SL")</f>
        <v>1.499999999999996</v>
      </c>
      <c r="D7" s="138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 t="s">
        <v>173</v>
      </c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</row>
    <row r="8" spans="1:35" ht="18.75" customHeight="1" x14ac:dyDescent="0.2">
      <c r="A8" s="141" t="s">
        <v>178</v>
      </c>
      <c r="B8" s="139">
        <f>'2024'!W85+1.25 - (COUNTIF(E8:AH8, "VL") * 1) - (COUNTIF(E8:AH8, "HDL") * 0.5)</f>
        <v>11.25</v>
      </c>
      <c r="C8" s="140">
        <f>'2024'!W86+0.416666666666666- COUNTIF(E8:AH8, "SL")</f>
        <v>3.7499999999999991</v>
      </c>
      <c r="D8" s="138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</row>
    <row r="9" spans="1:35" ht="18.75" customHeight="1" x14ac:dyDescent="0.2">
      <c r="A9" s="141" t="s">
        <v>162</v>
      </c>
      <c r="B9" s="139">
        <f>'2024'!W58+1.25 - (COUNTIF(E9:AH9, "VL") * 1) - (COUNTIF(E9:AH9, "HDL") * 0.5)</f>
        <v>11</v>
      </c>
      <c r="C9" s="140">
        <f>'2024'!W59+0.416666666666666- COUNTIF(E9:AH9, "SL")</f>
        <v>3.6666666666666652</v>
      </c>
      <c r="D9" s="138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 t="s">
        <v>172</v>
      </c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</row>
    <row r="10" spans="1:35" ht="18.75" customHeight="1" x14ac:dyDescent="0.2">
      <c r="A10" s="141" t="s">
        <v>179</v>
      </c>
      <c r="B10" s="139">
        <f>OCT!B41+1.25 - (COUNTIF(E10:AH10, "VL") * 1) - (COUNTIF(E10:AH10, "HDL") * 0.5)</f>
        <v>8.75</v>
      </c>
      <c r="C10" s="140">
        <f>OCT!C41+0.416666666666666- COUNTIF(E10:AH10, "SL")</f>
        <v>1.9166666666666621</v>
      </c>
      <c r="D10" s="138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 t="s">
        <v>173</v>
      </c>
      <c r="Z10" s="135"/>
      <c r="AA10" s="135"/>
      <c r="AB10" s="135"/>
      <c r="AC10" s="135"/>
      <c r="AD10" s="135"/>
      <c r="AE10" s="135"/>
      <c r="AF10" s="135"/>
      <c r="AG10" s="135"/>
      <c r="AH10" s="135"/>
    </row>
    <row r="11" spans="1:35" ht="18.75" customHeight="1" x14ac:dyDescent="0.2">
      <c r="A11" s="141" t="s">
        <v>151</v>
      </c>
      <c r="B11" s="139">
        <f>OCT!B11+1.25 - (COUNTIF(E11:AH11, "VL") * 1) - (COUNTIF(E11:AH11, "HDL") * 0.5)</f>
        <v>13</v>
      </c>
      <c r="C11" s="140">
        <f>OCT!C11+0.416666666666666- COUNTIF(E11:AH11, "SL")</f>
        <v>-0.15666666666666773</v>
      </c>
      <c r="D11" s="145">
        <f>OCT!D11- COUNTIF(E11:AH11, "SPL")</f>
        <v>6.1666666666666661</v>
      </c>
      <c r="E11" s="127"/>
      <c r="F11" s="127"/>
      <c r="G11" s="127"/>
      <c r="H11" s="127"/>
      <c r="I11" s="127"/>
      <c r="J11" s="127" t="s">
        <v>173</v>
      </c>
      <c r="K11" s="127"/>
      <c r="L11" s="127" t="s">
        <v>172</v>
      </c>
      <c r="M11" s="127"/>
      <c r="N11" s="127"/>
      <c r="O11" s="127" t="s">
        <v>172</v>
      </c>
      <c r="P11" s="127" t="s">
        <v>172</v>
      </c>
      <c r="Q11" s="127" t="s">
        <v>172</v>
      </c>
      <c r="R11" s="127" t="s">
        <v>172</v>
      </c>
      <c r="S11" s="127" t="s">
        <v>172</v>
      </c>
      <c r="T11" s="127"/>
      <c r="U11" s="127"/>
      <c r="V11" s="127" t="s">
        <v>172</v>
      </c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</row>
    <row r="12" spans="1:35" ht="18.75" customHeight="1" x14ac:dyDescent="0.2">
      <c r="A12" s="141" t="s">
        <v>180</v>
      </c>
      <c r="B12" s="139">
        <f>1.25*5 - (COUNTIF(E12:AH12, "VL") * 1) - (COUNTIF(E12:AH12, "HDL") * 0.5)</f>
        <v>6.25</v>
      </c>
      <c r="C12" s="140">
        <f>0.416666666666666*5- COUNTIF(E12:AH12, "SL")</f>
        <v>2.0833333333333299</v>
      </c>
      <c r="D12" s="145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</row>
    <row r="13" spans="1:35" ht="18.75" customHeight="1" x14ac:dyDescent="0.2">
      <c r="A13" s="141" t="s">
        <v>152</v>
      </c>
      <c r="B13" s="139">
        <f>OCT!B12+1.25 - (COUNTIF(E13:AH13, "VL") * 1) - (COUNTIF(E13:AH13, "HDL") * 0.5)</f>
        <v>6.375</v>
      </c>
      <c r="C13" s="140">
        <f>OCT!C12+0.416666666666666- COUNTIF(E13:AH13, "SL")</f>
        <v>8.8433333333333319</v>
      </c>
      <c r="D13" s="138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 t="s">
        <v>172</v>
      </c>
      <c r="W13" s="127" t="s">
        <v>172</v>
      </c>
      <c r="X13" s="127" t="s">
        <v>172</v>
      </c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</row>
    <row r="14" spans="1:35" ht="18.75" customHeight="1" x14ac:dyDescent="0.2">
      <c r="A14" s="141" t="s">
        <v>170</v>
      </c>
      <c r="B14" s="139">
        <f>OCT!B13+1.25 - (COUNTIF(E14:AH14, "VL") * 1) - (COUNTIF(E14:AH14, "HDL") * 0.5)</f>
        <v>14.75</v>
      </c>
      <c r="C14" s="140">
        <f>OCT!C13+0.416666666666666- COUNTIF(E14:AH14, "SL")</f>
        <v>1.2499999999999984</v>
      </c>
      <c r="D14" s="138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 t="s">
        <v>172</v>
      </c>
      <c r="AD14" s="127"/>
      <c r="AE14" s="127"/>
      <c r="AF14" s="127"/>
      <c r="AG14" s="127"/>
      <c r="AH14" s="127"/>
    </row>
    <row r="15" spans="1:35" ht="18.75" customHeight="1" x14ac:dyDescent="0.2">
      <c r="A15" s="141" t="s">
        <v>145</v>
      </c>
      <c r="B15" s="139">
        <f>OCT!B14+1.25 - (COUNTIF(E15:AH15, "VL") * 1) - (COUNTIF(E15:AH15, "HDL") * 0.5)</f>
        <v>2.5</v>
      </c>
      <c r="C15" s="140">
        <f>OCT!C14+0.416666666666666- COUNTIF(E15:AH15, "SL")</f>
        <v>0.83333333333333215</v>
      </c>
      <c r="D15" s="138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</row>
    <row r="16" spans="1:35" ht="18.75" customHeight="1" x14ac:dyDescent="0.2">
      <c r="A16" s="141" t="s">
        <v>165</v>
      </c>
      <c r="B16" s="139">
        <f>OCT!B15+1.25 - (COUNTIF(E16:AH16, "VL") * 1) - (COUNTIF(E16:AH16, "HDL") * 0.5)</f>
        <v>18</v>
      </c>
      <c r="C16" s="140">
        <f>OCT!C15+0.416666666666666- COUNTIF(E16:AH16, "SL")</f>
        <v>5.6666666666666661</v>
      </c>
      <c r="D16" s="138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</row>
    <row r="17" spans="1:34" ht="18.75" customHeight="1" x14ac:dyDescent="0.2">
      <c r="A17" s="141" t="s">
        <v>150</v>
      </c>
      <c r="B17" s="139">
        <f>OCT!B16+1.25 - (COUNTIF(E17:AH17, "VL") * 1) - (COUNTIF(E17:AH17, "HDL") * 0.5)</f>
        <v>14</v>
      </c>
      <c r="C17" s="140">
        <f>OCT!C16+0.416666666666666- COUNTIF(E17:AH17, "SL")</f>
        <v>1.8433333333333319</v>
      </c>
      <c r="D17" s="138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</row>
    <row r="18" spans="1:34" ht="18.75" customHeight="1" x14ac:dyDescent="0.2">
      <c r="A18" s="141" t="s">
        <v>147</v>
      </c>
      <c r="B18" s="139">
        <f>OCT!B17+1.25 - (COUNTIF(E18:AH18, "VL") * 1) - (COUNTIF(E18:AH18, "HDL") * 0.5)</f>
        <v>22.25</v>
      </c>
      <c r="C18" s="140">
        <f>OCT!C17+0.416666666666666- COUNTIF(E18:AH18, "SL")</f>
        <v>9.2633333333333336</v>
      </c>
      <c r="D18" s="138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</row>
    <row r="19" spans="1:34" ht="18.75" customHeight="1" x14ac:dyDescent="0.2">
      <c r="A19" s="141" t="s">
        <v>168</v>
      </c>
      <c r="B19" s="139">
        <f>OCT!B18+1.25 - (COUNTIF(E19:AH19, "VL") * 1) - (COUNTIF(E19:AH19, "HDL") * 0.5)</f>
        <v>13.75</v>
      </c>
      <c r="C19" s="140">
        <f>OCT!C18+0.416666666666666- COUNTIF(E19:AH19, "SL")</f>
        <v>2.2499999999999982</v>
      </c>
      <c r="D19" s="138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 t="s">
        <v>172</v>
      </c>
      <c r="S19" s="127" t="s">
        <v>172</v>
      </c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 t="s">
        <v>172</v>
      </c>
      <c r="AH19" s="127"/>
    </row>
    <row r="20" spans="1:34" ht="18.75" customHeight="1" x14ac:dyDescent="0.2">
      <c r="A20" s="141" t="s">
        <v>156</v>
      </c>
      <c r="B20" s="139">
        <f>OCT!B19+1.25 -(COUNTIF(E20:AH20, "VL") * 1) - (COUNTIF(E20:AH20, "HDL") * 0.5)</f>
        <v>3</v>
      </c>
      <c r="C20" s="140">
        <f>OCT!C19+0.416666666666666- COUNTIF(E20:AH20, "SL")</f>
        <v>0.33333333333333126</v>
      </c>
      <c r="D20" s="138"/>
      <c r="E20" s="127"/>
      <c r="F20" s="127"/>
      <c r="G20" s="127"/>
      <c r="H20" s="127"/>
      <c r="I20" s="127"/>
      <c r="J20" s="127" t="s">
        <v>173</v>
      </c>
      <c r="K20" s="127"/>
      <c r="L20" s="127" t="s">
        <v>173</v>
      </c>
      <c r="M20" s="127"/>
      <c r="N20" s="127"/>
      <c r="O20" s="127"/>
      <c r="P20" s="127"/>
      <c r="Q20" s="127"/>
      <c r="R20" s="127" t="s">
        <v>172</v>
      </c>
      <c r="S20" s="127" t="s">
        <v>172</v>
      </c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</row>
    <row r="21" spans="1:34" ht="18.75" customHeight="1" x14ac:dyDescent="0.2">
      <c r="A21" s="125" t="s">
        <v>183</v>
      </c>
      <c r="B21" s="139">
        <f>OCT!B37+1.25 -(COUNTIF(E21:AH21, "VL") * 1) - (COUNTIF(E21:AH21, "HDL") * 0.5)</f>
        <v>6.75</v>
      </c>
      <c r="C21" s="140">
        <f>OCT!C37+0.416666666666666- COUNTIF(E21:AH21, "SL")</f>
        <v>2.9166666666666621</v>
      </c>
      <c r="D21" s="146">
        <f>OCT!D37- COUNTIF(E21:AH21, "SPL")</f>
        <v>3</v>
      </c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 t="s">
        <v>174</v>
      </c>
      <c r="Q21" s="127" t="s">
        <v>174</v>
      </c>
      <c r="R21" s="127"/>
      <c r="S21" s="127"/>
      <c r="T21" s="127"/>
      <c r="U21" s="127"/>
      <c r="V21" s="127"/>
      <c r="W21" s="127"/>
      <c r="X21" s="127"/>
      <c r="Y21" s="127" t="s">
        <v>172</v>
      </c>
      <c r="Z21" s="127" t="s">
        <v>172</v>
      </c>
      <c r="AA21" s="127"/>
      <c r="AB21" s="127"/>
      <c r="AC21" s="127"/>
      <c r="AD21" s="127"/>
      <c r="AE21" s="127"/>
      <c r="AF21" s="127"/>
      <c r="AG21" s="127"/>
      <c r="AH21" s="127"/>
    </row>
    <row r="22" spans="1:34" s="155" customFormat="1" ht="18.75" customHeight="1" x14ac:dyDescent="0.2">
      <c r="A22" s="153" t="s">
        <v>146</v>
      </c>
      <c r="B22" s="139">
        <f>OCT!B20+1.25 -(COUNTIF(E22:AH22, "VL") * 1) - (COUNTIF(E22:AH22, "HDL") * 0.5)</f>
        <v>9.75</v>
      </c>
      <c r="C22" s="140">
        <f>OCT!C20+0.416666666666666- COUNTIF(E22:AH22, "SL")</f>
        <v>0.26333333333333275</v>
      </c>
      <c r="D22" s="146"/>
      <c r="E22" s="154"/>
      <c r="F22" s="154"/>
      <c r="G22" s="154"/>
      <c r="H22" s="154"/>
      <c r="I22" s="154" t="s">
        <v>172</v>
      </c>
      <c r="J22" s="154"/>
      <c r="K22" s="154"/>
      <c r="L22" s="154"/>
      <c r="M22" s="154"/>
      <c r="N22" s="154"/>
      <c r="O22" s="154"/>
      <c r="P22" s="154"/>
      <c r="Q22" s="154" t="s">
        <v>172</v>
      </c>
      <c r="R22" s="154"/>
      <c r="S22" s="154"/>
      <c r="T22" s="154"/>
      <c r="U22" s="154"/>
      <c r="V22" s="154"/>
      <c r="W22" s="154"/>
      <c r="X22" s="154"/>
      <c r="Y22" s="154" t="s">
        <v>172</v>
      </c>
      <c r="Z22" s="154" t="s">
        <v>172</v>
      </c>
      <c r="AA22" s="154"/>
      <c r="AB22" s="154"/>
      <c r="AC22" s="154" t="s">
        <v>172</v>
      </c>
      <c r="AD22" s="154" t="s">
        <v>172</v>
      </c>
      <c r="AE22" s="154" t="s">
        <v>172</v>
      </c>
      <c r="AF22" s="154" t="s">
        <v>172</v>
      </c>
      <c r="AG22" s="154" t="s">
        <v>173</v>
      </c>
      <c r="AH22" s="154"/>
    </row>
    <row r="23" spans="1:34" ht="18.75" customHeight="1" x14ac:dyDescent="0.2">
      <c r="A23" s="125" t="s">
        <v>184</v>
      </c>
      <c r="B23" s="139">
        <f>OCT!B38+1.25 - -(COUNTIF(E23:AH23, "VL") * 1) - (COUNTIF(E23:AH23, "HDL") * 0.5)</f>
        <v>7.75</v>
      </c>
      <c r="C23" s="140">
        <f>OCT!C38+0.416666666666666- COUNTIF(E23:AH23, "SL")</f>
        <v>1.9166666666666621</v>
      </c>
      <c r="D23" s="138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</row>
    <row r="24" spans="1:34" ht="18.75" customHeight="1" x14ac:dyDescent="0.2">
      <c r="A24" s="141" t="s">
        <v>157</v>
      </c>
      <c r="B24" s="139">
        <f>OCT!B21+1.25 -(COUNTIF(E24:AH24, "VL") * 1) - (COUNTIF(E24:AH24, "HDL") * 0.5)</f>
        <v>7</v>
      </c>
      <c r="C24" s="140">
        <f>OCT!C21+0.416666666666666- COUNTIF(E24:AH24, "SL")</f>
        <v>1.3333333333333315</v>
      </c>
      <c r="D24" s="138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 t="s">
        <v>172</v>
      </c>
      <c r="AD24" s="127"/>
      <c r="AE24" s="127"/>
      <c r="AF24" s="127"/>
      <c r="AG24" s="127"/>
      <c r="AH24" s="127"/>
    </row>
    <row r="25" spans="1:34" ht="18.75" customHeight="1" x14ac:dyDescent="0.2">
      <c r="A25" s="141" t="s">
        <v>161</v>
      </c>
      <c r="B25" s="139">
        <f>OCT!B22+1.25 - (COUNTIF(E25:AH25, "VL") * 1) - (COUNTIF(E25:AH25, "HDL") * 0.5)</f>
        <v>0.25</v>
      </c>
      <c r="C25" s="140">
        <f>OCT!C22+0.416666666666666- COUNTIF(E25:AH25, "SL")</f>
        <v>8.3333333333331261E-2</v>
      </c>
      <c r="D25" s="138"/>
      <c r="E25" s="127"/>
      <c r="F25" s="127"/>
      <c r="G25" s="127"/>
      <c r="H25" s="127"/>
      <c r="I25" s="127"/>
      <c r="J25" s="127"/>
      <c r="K25" s="127"/>
      <c r="L25" s="127" t="s">
        <v>172</v>
      </c>
      <c r="M25" s="127"/>
      <c r="N25" s="127"/>
      <c r="O25" s="127"/>
      <c r="P25" s="127"/>
      <c r="Q25" s="127" t="s">
        <v>182</v>
      </c>
      <c r="R25" s="127" t="s">
        <v>173</v>
      </c>
      <c r="S25" s="127" t="s">
        <v>182</v>
      </c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</row>
    <row r="26" spans="1:34" ht="18.75" customHeight="1" x14ac:dyDescent="0.2">
      <c r="A26" s="141" t="s">
        <v>167</v>
      </c>
      <c r="B26" s="139">
        <f>OCT!B23+1.25 - (COUNTIF(E26:AH26, "VL") * 1) - (COUNTIF(E26:AH26, "HDL") * 0.5)</f>
        <v>11</v>
      </c>
      <c r="C26" s="140">
        <f>OCT!C23+0.416666666666666- COUNTIF(E26:AH26, "SL")</f>
        <v>3.6666666666666661</v>
      </c>
      <c r="D26" s="138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 t="s">
        <v>173</v>
      </c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</row>
    <row r="27" spans="1:34" ht="18.75" customHeight="1" x14ac:dyDescent="0.2">
      <c r="A27" s="141" t="s">
        <v>159</v>
      </c>
      <c r="B27" s="139">
        <f>OCT!B24+1.25 - (COUNTIF(E27:AH27, "VL") * 1) - (COUNTIF(E27:AH27, "HDL") * 0.5)</f>
        <v>14.75</v>
      </c>
      <c r="C27" s="140">
        <f>OCT!C24+0.416666666666666- COUNTIF(E27:AH27, "SL")</f>
        <v>0.91666666666666474</v>
      </c>
      <c r="D27" s="138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 t="s">
        <v>173</v>
      </c>
      <c r="AG27" s="127"/>
      <c r="AH27" s="127"/>
    </row>
    <row r="28" spans="1:34" ht="18.75" customHeight="1" x14ac:dyDescent="0.2">
      <c r="A28" s="141" t="s">
        <v>185</v>
      </c>
      <c r="B28" s="139">
        <f>OCT!B25+1.25 - (COUNTIF(E28:AH28, "VL") * 1) - (COUNTIF(E28:AH28, "HDL") * 0.5)</f>
        <v>10.25</v>
      </c>
      <c r="C28" s="140">
        <f>OCT!C25+0.416666666666666- COUNTIF(E28:AH28, "SL")</f>
        <v>4.0833333333333313</v>
      </c>
      <c r="D28" s="138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</row>
    <row r="29" spans="1:34" ht="18.75" customHeight="1" x14ac:dyDescent="0.2">
      <c r="A29" s="141" t="s">
        <v>148</v>
      </c>
      <c r="B29" s="139">
        <f>OCT!B26+1.25 - (COUNTIF(E29:AH29, "VL") * 1) - (COUNTIF(E29:AH29, "HDL") * 0.5)</f>
        <v>11.25</v>
      </c>
      <c r="C29" s="140">
        <f>OCT!C26+0.416666666666666- COUNTIF(E29:AH29, "SL")</f>
        <v>1.263333333333331</v>
      </c>
      <c r="D29" s="138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 t="s">
        <v>172</v>
      </c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</row>
    <row r="30" spans="1:34" ht="18.75" customHeight="1" x14ac:dyDescent="0.2">
      <c r="A30" s="141" t="s">
        <v>171</v>
      </c>
      <c r="B30" s="139">
        <f>OCT!B27+1.25 - (COUNTIF(E30:AH30, "VL") * 1) - (COUNTIF(E30:AH30, "HDL") * 0.5)</f>
        <v>15.25</v>
      </c>
      <c r="C30" s="140">
        <f>OCT!C27+0.416666666666666- COUNTIF(E30:AH30, "SL")</f>
        <v>5.4166666666666652</v>
      </c>
      <c r="D30" s="138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</row>
    <row r="31" spans="1:34" ht="18.75" customHeight="1" x14ac:dyDescent="0.2">
      <c r="A31" s="125" t="s">
        <v>186</v>
      </c>
      <c r="B31" s="139">
        <f>OCT!B28+1.25 - (COUNTIF(E31:AH31, "VL") * 1) - (COUNTIF(E31:AH31, "HDL") * 0.5)</f>
        <v>6.75</v>
      </c>
      <c r="C31" s="140">
        <f>OCT!C28+0.416666666666666- COUNTIF(E31:AH31, "SL")</f>
        <v>2.9133333333333322</v>
      </c>
      <c r="D31" s="138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</row>
    <row r="32" spans="1:34" ht="18.75" customHeight="1" x14ac:dyDescent="0.2">
      <c r="A32" s="141" t="s">
        <v>187</v>
      </c>
      <c r="B32" s="139">
        <f>OCT!B29+1.25 - (COUNTIF(E32:AH32, "VL") * 1) - (COUNTIF(E32:AH32, "HDL") * 0.5)</f>
        <v>3.75</v>
      </c>
      <c r="C32" s="140">
        <f>OCT!C29+0.416666666666666- COUNTIF(E32:AH32, "SL")</f>
        <v>2.9133333333333322</v>
      </c>
      <c r="D32" s="138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 t="s">
        <v>172</v>
      </c>
      <c r="AD32" s="127" t="s">
        <v>172</v>
      </c>
      <c r="AE32" s="127" t="s">
        <v>172</v>
      </c>
      <c r="AF32" s="127" t="s">
        <v>172</v>
      </c>
      <c r="AG32" s="127" t="s">
        <v>172</v>
      </c>
      <c r="AH32" s="127"/>
    </row>
    <row r="33" spans="1:34" ht="18.75" customHeight="1" x14ac:dyDescent="0.2">
      <c r="A33" s="141" t="s">
        <v>154</v>
      </c>
      <c r="B33" s="139">
        <f>OCT!B30+1.25 - (COUNTIF(E33:AH33, "VL") * 1) - (COUNTIF(E33:AH33, "HDL") * 0.5)</f>
        <v>8</v>
      </c>
      <c r="C33" s="140">
        <f>OCT!C30+0.416666666666666- COUNTIF(E33:AH33, "SL")</f>
        <v>3.333333333333333</v>
      </c>
      <c r="D33" s="138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 t="s">
        <v>173</v>
      </c>
      <c r="AD33" s="151"/>
      <c r="AE33" s="151"/>
      <c r="AF33" s="151"/>
      <c r="AG33" s="151"/>
      <c r="AH33" s="151"/>
    </row>
    <row r="34" spans="1:34" ht="18.75" customHeight="1" x14ac:dyDescent="0.2">
      <c r="A34" s="125" t="s">
        <v>189</v>
      </c>
      <c r="B34" s="139">
        <f>OCT!B36+1.25 - (COUNTIF(E34:AH34, "VL") * 1) - (COUNTIF(E34:AH34, "HDL") * 0.5)</f>
        <v>8.75</v>
      </c>
      <c r="C34" s="140">
        <f>OCT!C36+0.416666666666666- COUNTIF(E34:AH34, "SL")</f>
        <v>0.91666666666666208</v>
      </c>
      <c r="D34" s="150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 t="s">
        <v>173</v>
      </c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</row>
    <row r="35" spans="1:34" ht="18.75" customHeight="1" x14ac:dyDescent="0.2">
      <c r="A35" s="141" t="s">
        <v>153</v>
      </c>
      <c r="B35" s="139">
        <f>OCT!B31+1.25 - (COUNTIF(E35:AH35, "VL") * 1) - (COUNTIF(E35:AH35, "HDL") * 0.5)</f>
        <v>19.5</v>
      </c>
      <c r="C35" s="140">
        <f>OCT!C31+0.416666666666666- COUNTIF(E35:AH35, "SL")</f>
        <v>6.1666666666666679</v>
      </c>
      <c r="D35" s="138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49"/>
      <c r="AD35" s="149"/>
      <c r="AE35" s="149"/>
      <c r="AF35" s="149"/>
      <c r="AG35" s="149"/>
      <c r="AH35" s="152"/>
    </row>
    <row r="36" spans="1:34" ht="18.75" customHeight="1" x14ac:dyDescent="0.2">
      <c r="A36" s="141" t="s">
        <v>155</v>
      </c>
      <c r="B36" s="139">
        <f>OCT!B32+1.25 - (COUNTIF(E36:AH36, "VL") * 1) - (COUNTIF(E36:AH36, "HDL") * 0.5)</f>
        <v>3.5</v>
      </c>
      <c r="C36" s="140">
        <f>OCT!C32+0.416666666666666- COUNTIF(E36:AH36, "SL")</f>
        <v>1.833333333333333</v>
      </c>
      <c r="D36" s="138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 t="s">
        <v>173</v>
      </c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</row>
    <row r="37" spans="1:34" ht="18.75" customHeight="1" x14ac:dyDescent="0.2">
      <c r="A37" s="141" t="s">
        <v>166</v>
      </c>
      <c r="B37" s="139">
        <f>OCT!B33+1.25 - (COUNTIF(E37:AH37, "VL") * 1) - (COUNTIF(E37:AH37, "HDL") * 0.5)</f>
        <v>12</v>
      </c>
      <c r="C37" s="140">
        <f>OCT!C33+0.416666666666666- COUNTIF(E37:AH37, "SL")</f>
        <v>1.666666666666665</v>
      </c>
      <c r="D37" s="138"/>
      <c r="E37" s="127"/>
      <c r="F37" s="127"/>
      <c r="G37" s="127"/>
      <c r="H37" s="127"/>
      <c r="I37" s="127"/>
      <c r="J37" s="127" t="s">
        <v>172</v>
      </c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 t="s">
        <v>172</v>
      </c>
      <c r="Z37" s="127" t="s">
        <v>172</v>
      </c>
      <c r="AA37" s="127"/>
      <c r="AB37" s="127"/>
      <c r="AC37" s="127" t="s">
        <v>172</v>
      </c>
      <c r="AD37" s="127" t="s">
        <v>172</v>
      </c>
      <c r="AE37" s="127" t="s">
        <v>172</v>
      </c>
      <c r="AF37" s="127" t="s">
        <v>172</v>
      </c>
      <c r="AG37" s="127" t="s">
        <v>172</v>
      </c>
      <c r="AH37" s="127"/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C6A4-4C0E-41B4-9429-A69328BCDB04}">
  <dimension ref="A1:AJ63"/>
  <sheetViews>
    <sheetView workbookViewId="0">
      <pane ySplit="1" topLeftCell="A15" activePane="bottomLeft" state="frozen"/>
      <selection pane="bottomLeft" activeCell="B29" sqref="B29"/>
    </sheetView>
  </sheetViews>
  <sheetFormatPr defaultRowHeight="15" x14ac:dyDescent="0.25"/>
  <cols>
    <col min="1" max="1" width="52.1640625" style="156" customWidth="1"/>
    <col min="2" max="3" width="9.1640625" style="129" customWidth="1"/>
    <col min="4" max="4" width="9.33203125" style="129" customWidth="1"/>
    <col min="5" max="19" width="8.5" style="126" customWidth="1"/>
    <col min="20" max="21" width="9.33203125" style="126" customWidth="1"/>
    <col min="22" max="34" width="8.5" style="126" customWidth="1"/>
  </cols>
  <sheetData>
    <row r="1" spans="1:36" x14ac:dyDescent="0.2">
      <c r="A1" s="134" t="s">
        <v>124</v>
      </c>
      <c r="B1" s="136" t="s">
        <v>172</v>
      </c>
      <c r="C1" s="137" t="s">
        <v>173</v>
      </c>
      <c r="D1" s="138" t="s">
        <v>174</v>
      </c>
      <c r="E1" s="135">
        <v>45658</v>
      </c>
      <c r="F1" s="135">
        <v>45659</v>
      </c>
      <c r="G1" s="135">
        <v>45660</v>
      </c>
      <c r="H1" s="135">
        <v>45661</v>
      </c>
      <c r="I1" s="135">
        <v>45662</v>
      </c>
      <c r="J1" s="135">
        <v>45663</v>
      </c>
      <c r="K1" s="135">
        <v>45664</v>
      </c>
      <c r="L1" s="135">
        <v>45665</v>
      </c>
      <c r="M1" s="135">
        <v>45666</v>
      </c>
      <c r="N1" s="135">
        <v>45667</v>
      </c>
      <c r="O1" s="135">
        <v>45668</v>
      </c>
      <c r="P1" s="135">
        <v>45669</v>
      </c>
      <c r="Q1" s="135">
        <v>45670</v>
      </c>
      <c r="R1" s="135">
        <v>45671</v>
      </c>
      <c r="S1" s="135">
        <v>45672</v>
      </c>
      <c r="T1" s="135">
        <v>45673</v>
      </c>
      <c r="U1" s="135">
        <v>45674</v>
      </c>
      <c r="V1" s="135">
        <v>45675</v>
      </c>
      <c r="W1" s="135">
        <v>45676</v>
      </c>
      <c r="X1" s="135">
        <v>45677</v>
      </c>
      <c r="Y1" s="135">
        <v>45678</v>
      </c>
      <c r="Z1" s="135">
        <v>45679</v>
      </c>
      <c r="AA1" s="135">
        <v>45680</v>
      </c>
      <c r="AB1" s="135">
        <v>45681</v>
      </c>
      <c r="AC1" s="135">
        <v>45682</v>
      </c>
      <c r="AD1" s="135">
        <v>45683</v>
      </c>
      <c r="AE1" s="135">
        <v>45684</v>
      </c>
      <c r="AF1" s="135">
        <v>45685</v>
      </c>
      <c r="AG1" s="135">
        <v>45686</v>
      </c>
      <c r="AH1" s="135">
        <v>45687</v>
      </c>
      <c r="AI1" s="135">
        <v>45688</v>
      </c>
      <c r="AJ1" t="s">
        <v>218</v>
      </c>
    </row>
    <row r="2" spans="1:36" ht="18.75" customHeight="1" x14ac:dyDescent="0.2">
      <c r="A2" s="141" t="s">
        <v>158</v>
      </c>
      <c r="B2" s="139">
        <f>DEC!B2+1.25- (COUNTIF(E2:AI2, "VL") * 1) - (COUNTIF(E2:AI2, "HDL") * 0.5)</f>
        <v>8.25</v>
      </c>
      <c r="C2" s="140">
        <f t="shared" ref="C2:C34" si="0">5- COUNTIF(E2:AI2, "SL")-(COUNTIF(E2:AI2, "HDSL") * 0.5)</f>
        <v>4</v>
      </c>
      <c r="D2" s="158"/>
      <c r="E2" s="127"/>
      <c r="F2" s="127"/>
      <c r="G2" s="127"/>
      <c r="H2" s="127"/>
      <c r="I2" s="127"/>
      <c r="J2" s="127"/>
      <c r="K2" s="127" t="s">
        <v>173</v>
      </c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>
        <f>COUNTIF(E2:AI2,"SL")</f>
        <v>1</v>
      </c>
    </row>
    <row r="3" spans="1:36" ht="18.75" customHeight="1" x14ac:dyDescent="0.2">
      <c r="A3" s="141" t="s">
        <v>160</v>
      </c>
      <c r="B3" s="139">
        <f>DEC!B3+1.25- (COUNTIF(E3:AI3, "VL") * 1) - (COUNTIF(E3:AI3, "HDL") * 0.5)</f>
        <v>12.25</v>
      </c>
      <c r="C3" s="140">
        <f t="shared" si="0"/>
        <v>5</v>
      </c>
      <c r="D3" s="158"/>
      <c r="E3" s="127"/>
      <c r="F3" s="127" t="s">
        <v>172</v>
      </c>
      <c r="G3" s="127" t="s">
        <v>172</v>
      </c>
      <c r="H3" s="127"/>
      <c r="I3" s="127"/>
      <c r="J3" s="159" t="s">
        <v>172</v>
      </c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>
        <f t="shared" ref="AJ3:AJ63" si="1">COUNTIF(E3:AI3,"SL")</f>
        <v>0</v>
      </c>
    </row>
    <row r="4" spans="1:36" ht="18.75" customHeight="1" x14ac:dyDescent="0.2">
      <c r="A4" s="141" t="s">
        <v>149</v>
      </c>
      <c r="B4" s="139">
        <f>DEC!B4+1.25- (COUNTIF(E4:AI4, "VL") * 1) - (COUNTIF(E4:AI4, "HDL") * 0.5)</f>
        <v>13</v>
      </c>
      <c r="C4" s="140">
        <f t="shared" si="0"/>
        <v>4</v>
      </c>
      <c r="D4" s="158"/>
      <c r="E4" s="127"/>
      <c r="F4" s="127" t="s">
        <v>172</v>
      </c>
      <c r="G4" s="127" t="s">
        <v>172</v>
      </c>
      <c r="H4" s="127"/>
      <c r="I4" s="127"/>
      <c r="J4" s="127" t="s">
        <v>172</v>
      </c>
      <c r="K4" s="127" t="s">
        <v>172</v>
      </c>
      <c r="L4" s="127" t="s">
        <v>172</v>
      </c>
      <c r="M4" s="127" t="s">
        <v>172</v>
      </c>
      <c r="N4" s="127" t="s">
        <v>172</v>
      </c>
      <c r="O4" s="127"/>
      <c r="P4" s="127"/>
      <c r="Q4" s="127" t="s">
        <v>172</v>
      </c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 t="s">
        <v>173</v>
      </c>
      <c r="AI4" s="127"/>
      <c r="AJ4">
        <f t="shared" si="1"/>
        <v>1</v>
      </c>
    </row>
    <row r="5" spans="1:36" ht="18.75" customHeight="1" x14ac:dyDescent="0.2">
      <c r="A5" s="141" t="s">
        <v>142</v>
      </c>
      <c r="B5" s="139">
        <f>DEC!B5+1.25- (COUNTIF(E5:AI5, "VL") * 1) - (COUNTIF(E5:AI5, "HDL") * 0.5)</f>
        <v>7.75</v>
      </c>
      <c r="C5" s="140">
        <f t="shared" si="0"/>
        <v>4.5</v>
      </c>
      <c r="D5" s="158"/>
      <c r="E5" s="127"/>
      <c r="F5" s="127" t="s">
        <v>172</v>
      </c>
      <c r="G5" s="127" t="s">
        <v>172</v>
      </c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 t="s">
        <v>175</v>
      </c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7"/>
      <c r="AG5" s="127"/>
      <c r="AH5" s="127"/>
      <c r="AI5" s="127" t="s">
        <v>172</v>
      </c>
      <c r="AJ5">
        <f t="shared" si="1"/>
        <v>0</v>
      </c>
    </row>
    <row r="6" spans="1:36" ht="18.75" customHeight="1" x14ac:dyDescent="0.2">
      <c r="A6" s="141" t="s">
        <v>176</v>
      </c>
      <c r="B6" s="139">
        <f>DEC!B6+1.25- (COUNTIF(E6:AI6, "VL") * 1) - (COUNTIF(E6:AI6, "HDL") * 0.5)</f>
        <v>1.25</v>
      </c>
      <c r="C6" s="140">
        <f t="shared" si="0"/>
        <v>5</v>
      </c>
      <c r="D6" s="158"/>
      <c r="E6" s="135"/>
      <c r="F6" s="135" t="s">
        <v>172</v>
      </c>
      <c r="G6" s="135" t="s">
        <v>172</v>
      </c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>
        <f t="shared" si="1"/>
        <v>0</v>
      </c>
    </row>
    <row r="7" spans="1:36" ht="18.75" customHeight="1" x14ac:dyDescent="0.2">
      <c r="A7" s="141" t="s">
        <v>177</v>
      </c>
      <c r="B7" s="139">
        <f>DEC!B7+1.25- (COUNTIF(E7:AI7, "VL") * 1) - (COUNTIF(E7:AI7, "HDL") * 0.5)</f>
        <v>2</v>
      </c>
      <c r="C7" s="140">
        <f t="shared" si="0"/>
        <v>5</v>
      </c>
      <c r="D7" s="158"/>
      <c r="E7" s="135"/>
      <c r="F7" s="161" t="s">
        <v>172</v>
      </c>
      <c r="G7" s="161" t="s">
        <v>172</v>
      </c>
      <c r="H7" s="161"/>
      <c r="I7" s="161" t="s">
        <v>172</v>
      </c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5"/>
      <c r="AJ7">
        <f t="shared" si="1"/>
        <v>0</v>
      </c>
    </row>
    <row r="8" spans="1:36" ht="18.75" customHeight="1" x14ac:dyDescent="0.2">
      <c r="A8" s="141" t="s">
        <v>178</v>
      </c>
      <c r="B8" s="139">
        <f>DEC!B8+1.25- (COUNTIF(E8:AI8, "VL") * 1) - (COUNTIF(E8:AI8, "HDL") * 0.5)</f>
        <v>6.75</v>
      </c>
      <c r="C8" s="140">
        <f t="shared" si="0"/>
        <v>5</v>
      </c>
      <c r="D8" s="158"/>
      <c r="E8" s="127"/>
      <c r="F8" s="127" t="s">
        <v>172</v>
      </c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>
        <f t="shared" si="1"/>
        <v>0</v>
      </c>
    </row>
    <row r="9" spans="1:36" ht="18.75" customHeight="1" x14ac:dyDescent="0.2">
      <c r="A9" s="141" t="s">
        <v>162</v>
      </c>
      <c r="B9" s="139">
        <f>DEC!B9+1.25- (COUNTIF(E9:AI9, "VL") * 1) - (COUNTIF(E9:AI9, "HDL") * 0.5)</f>
        <v>11.5</v>
      </c>
      <c r="C9" s="140">
        <f t="shared" si="0"/>
        <v>5</v>
      </c>
      <c r="D9" s="158"/>
      <c r="E9" s="127"/>
      <c r="F9" s="127" t="s">
        <v>172</v>
      </c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>
        <f t="shared" si="1"/>
        <v>0</v>
      </c>
    </row>
    <row r="10" spans="1:36" ht="18.75" customHeight="1" x14ac:dyDescent="0.2">
      <c r="A10" s="141" t="s">
        <v>179</v>
      </c>
      <c r="B10" s="139">
        <f>DEC!B10+1.25- (COUNTIF(E10:AI10, "VL") * 1) - (COUNTIF(E10:AI10, "HDL") * 0.5)</f>
        <v>3.25</v>
      </c>
      <c r="C10" s="140">
        <f t="shared" si="0"/>
        <v>5</v>
      </c>
      <c r="D10" s="158"/>
      <c r="E10" s="135"/>
      <c r="F10" s="135" t="s">
        <v>172</v>
      </c>
      <c r="G10" s="135" t="s">
        <v>172</v>
      </c>
      <c r="H10" s="135"/>
      <c r="I10" s="135"/>
      <c r="J10" s="135" t="s">
        <v>172</v>
      </c>
      <c r="K10" s="135" t="s">
        <v>172</v>
      </c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>
        <f t="shared" si="1"/>
        <v>0</v>
      </c>
    </row>
    <row r="11" spans="1:36" ht="18.75" customHeight="1" x14ac:dyDescent="0.2">
      <c r="A11" s="141" t="s">
        <v>151</v>
      </c>
      <c r="B11" s="139">
        <f>DEC!B11+1.25- (COUNTIF(E11:AI11, "VL") * 1) - (COUNTIF(E11:AI11, "HDL") * 0.5)</f>
        <v>10.5</v>
      </c>
      <c r="C11" s="140">
        <f t="shared" si="0"/>
        <v>4</v>
      </c>
      <c r="D11" s="158">
        <f>7- COUNTIF(E11:AI11, "SPL")</f>
        <v>7</v>
      </c>
      <c r="E11" s="127"/>
      <c r="F11" s="127" t="s">
        <v>172</v>
      </c>
      <c r="G11" s="127" t="s">
        <v>172</v>
      </c>
      <c r="H11" s="127"/>
      <c r="I11" s="127"/>
      <c r="J11" s="127" t="s">
        <v>173</v>
      </c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  <c r="AI11" s="127"/>
      <c r="AJ11">
        <f t="shared" si="1"/>
        <v>1</v>
      </c>
    </row>
    <row r="12" spans="1:36" ht="18.75" customHeight="1" x14ac:dyDescent="0.2">
      <c r="A12" s="141" t="s">
        <v>180</v>
      </c>
      <c r="B12" s="139">
        <f>DEC!B12+1.25- (COUNTIF(E12:AI12, "VL") * 1) - (COUNTIF(E12:AI12, "HDL") * 0.5)</f>
        <v>3.75</v>
      </c>
      <c r="C12" s="140">
        <f t="shared" si="0"/>
        <v>5</v>
      </c>
      <c r="D12" s="158"/>
      <c r="E12" s="127"/>
      <c r="F12" s="127" t="s">
        <v>172</v>
      </c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 t="s">
        <v>172</v>
      </c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>
        <f t="shared" si="1"/>
        <v>0</v>
      </c>
    </row>
    <row r="13" spans="1:36" ht="18.75" customHeight="1" x14ac:dyDescent="0.2">
      <c r="A13" s="141" t="s">
        <v>181</v>
      </c>
      <c r="B13" s="139">
        <f>DEC!B13+1.25- (COUNTIF(E13:AI13, "VL") * 1) - (COUNTIF(E13:AI13, "HDL") * 0.5)</f>
        <v>6.75</v>
      </c>
      <c r="C13" s="140">
        <f t="shared" si="0"/>
        <v>3</v>
      </c>
      <c r="D13" s="158"/>
      <c r="E13" s="127"/>
      <c r="F13" s="127"/>
      <c r="G13" s="127" t="s">
        <v>172</v>
      </c>
      <c r="H13" s="127"/>
      <c r="I13" s="127"/>
      <c r="J13" s="127"/>
      <c r="K13" s="127"/>
      <c r="L13" s="127"/>
      <c r="M13" s="127"/>
      <c r="N13" s="127" t="s">
        <v>173</v>
      </c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 t="s">
        <v>173</v>
      </c>
      <c r="AG13" s="127"/>
      <c r="AH13" s="127"/>
      <c r="AI13" s="127"/>
      <c r="AJ13">
        <f t="shared" si="1"/>
        <v>2</v>
      </c>
    </row>
    <row r="14" spans="1:36" ht="18.75" customHeight="1" x14ac:dyDescent="0.2">
      <c r="A14" s="141" t="s">
        <v>152</v>
      </c>
      <c r="B14" s="139">
        <f>DEC!B14+1.25- (COUNTIF(E14:AI14, "VL") * 1) - (COUNTIF(E14:AI14, "HDL") * 0.5)</f>
        <v>7.875</v>
      </c>
      <c r="C14" s="140">
        <f t="shared" si="0"/>
        <v>3</v>
      </c>
      <c r="D14" s="158"/>
      <c r="E14" s="127"/>
      <c r="F14" s="160" t="s">
        <v>173</v>
      </c>
      <c r="G14" s="160" t="s">
        <v>173</v>
      </c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 t="s">
        <v>172</v>
      </c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>
        <f t="shared" si="1"/>
        <v>2</v>
      </c>
    </row>
    <row r="15" spans="1:36" ht="18.75" customHeight="1" x14ac:dyDescent="0.2">
      <c r="A15" s="141" t="s">
        <v>170</v>
      </c>
      <c r="B15" s="139">
        <f>DEC!B15+1.25- (COUNTIF(E15:AI15, "VL") * 1) - (COUNTIF(E15:AI15, "HDL") * 0.5)</f>
        <v>7.25</v>
      </c>
      <c r="C15" s="140">
        <f t="shared" si="0"/>
        <v>3</v>
      </c>
      <c r="D15" s="158"/>
      <c r="E15" s="127"/>
      <c r="F15" s="127" t="s">
        <v>172</v>
      </c>
      <c r="G15" s="127" t="s">
        <v>172</v>
      </c>
      <c r="H15" s="127"/>
      <c r="I15" s="127"/>
      <c r="J15" s="127"/>
      <c r="K15" s="127"/>
      <c r="L15" s="127"/>
      <c r="M15" s="127"/>
      <c r="N15" s="127" t="s">
        <v>172</v>
      </c>
      <c r="O15" s="127"/>
      <c r="P15" s="127"/>
      <c r="Q15" s="127"/>
      <c r="R15" s="127"/>
      <c r="S15" s="127"/>
      <c r="T15" s="127"/>
      <c r="U15" s="127"/>
      <c r="V15" s="127"/>
      <c r="W15" s="127"/>
      <c r="X15" s="127" t="s">
        <v>172</v>
      </c>
      <c r="Y15" s="127"/>
      <c r="Z15" s="127"/>
      <c r="AA15" s="127" t="s">
        <v>173</v>
      </c>
      <c r="AB15" s="127"/>
      <c r="AC15" s="127"/>
      <c r="AD15" s="127"/>
      <c r="AE15" s="127"/>
      <c r="AF15" s="127"/>
      <c r="AG15" s="127" t="s">
        <v>173</v>
      </c>
      <c r="AH15" s="127"/>
      <c r="AI15" s="127"/>
      <c r="AJ15">
        <f t="shared" si="1"/>
        <v>2</v>
      </c>
    </row>
    <row r="16" spans="1:36" ht="18.75" customHeight="1" x14ac:dyDescent="0.2">
      <c r="A16" s="141" t="s">
        <v>145</v>
      </c>
      <c r="B16" s="139">
        <f>DEC!B16+1.25- (COUNTIF(E16:AI16, "VL") * 1) - (COUNTIF(E16:AI16, "HDL") * 0.5)</f>
        <v>2</v>
      </c>
      <c r="C16" s="140">
        <f t="shared" si="0"/>
        <v>4</v>
      </c>
      <c r="D16" s="158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 t="s">
        <v>173</v>
      </c>
      <c r="AC16" s="127"/>
      <c r="AD16" s="127"/>
      <c r="AE16" s="127"/>
      <c r="AF16" s="127"/>
      <c r="AG16" s="127"/>
      <c r="AH16" s="127"/>
      <c r="AI16" s="127"/>
      <c r="AJ16">
        <f t="shared" si="1"/>
        <v>1</v>
      </c>
    </row>
    <row r="17" spans="1:36" ht="18.75" customHeight="1" x14ac:dyDescent="0.2">
      <c r="A17" s="141" t="s">
        <v>165</v>
      </c>
      <c r="B17" s="139">
        <f>DEC!B17+1.25- (COUNTIF(E17:AI17, "VL") * 1) - (COUNTIF(E17:AI17, "HDL") * 0.5)</f>
        <v>8.5</v>
      </c>
      <c r="C17" s="140">
        <f t="shared" si="0"/>
        <v>5</v>
      </c>
      <c r="D17" s="158"/>
      <c r="E17" s="127"/>
      <c r="F17" s="127" t="s">
        <v>172</v>
      </c>
      <c r="G17" s="127" t="s">
        <v>172</v>
      </c>
      <c r="H17" s="127"/>
      <c r="I17" s="127"/>
      <c r="J17" s="127" t="s">
        <v>172</v>
      </c>
      <c r="K17" s="127" t="s">
        <v>172</v>
      </c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>
        <f t="shared" si="1"/>
        <v>0</v>
      </c>
    </row>
    <row r="18" spans="1:36" ht="18.75" customHeight="1" x14ac:dyDescent="0.2">
      <c r="A18" s="141" t="s">
        <v>150</v>
      </c>
      <c r="B18" s="139">
        <f>DEC!B18+1.25- (COUNTIF(E18:AI18, "VL") * 1) - (COUNTIF(E18:AI18, "HDL") * 0.5)</f>
        <v>11.5</v>
      </c>
      <c r="C18" s="140">
        <f t="shared" si="0"/>
        <v>5</v>
      </c>
      <c r="D18" s="158"/>
      <c r="E18" s="127"/>
      <c r="F18" s="127" t="s">
        <v>172</v>
      </c>
      <c r="G18" s="127" t="s">
        <v>172</v>
      </c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 t="s">
        <v>172</v>
      </c>
      <c r="Y18" s="127" t="s">
        <v>172</v>
      </c>
      <c r="Z18" s="127" t="s">
        <v>172</v>
      </c>
      <c r="AA18" s="127"/>
      <c r="AB18" s="127"/>
      <c r="AC18" s="127"/>
      <c r="AD18" s="127"/>
      <c r="AE18" s="127"/>
      <c r="AF18" s="127"/>
      <c r="AG18" s="127"/>
      <c r="AH18" s="127"/>
      <c r="AI18" s="127"/>
      <c r="AJ18">
        <f t="shared" si="1"/>
        <v>0</v>
      </c>
    </row>
    <row r="19" spans="1:36" ht="18.75" customHeight="1" x14ac:dyDescent="0.2">
      <c r="A19" s="141" t="s">
        <v>147</v>
      </c>
      <c r="B19" s="139">
        <f>DEC!B19+1.25- (COUNTIF(E19:AI19, "VL") * 1) - (COUNTIF(E19:AI19, "HDL") * 0.5)</f>
        <v>13.75</v>
      </c>
      <c r="C19" s="140">
        <f t="shared" si="0"/>
        <v>5</v>
      </c>
      <c r="D19" s="158"/>
      <c r="E19" s="127"/>
      <c r="F19" s="127" t="s">
        <v>172</v>
      </c>
      <c r="G19" s="127" t="s">
        <v>172</v>
      </c>
      <c r="H19" s="127"/>
      <c r="I19" s="127"/>
      <c r="J19" s="127" t="s">
        <v>172</v>
      </c>
      <c r="K19" s="127" t="s">
        <v>172</v>
      </c>
      <c r="L19" s="127" t="s">
        <v>172</v>
      </c>
      <c r="M19" s="127"/>
      <c r="N19" s="127"/>
      <c r="O19" s="127"/>
      <c r="P19" s="127"/>
      <c r="Q19" s="127" t="s">
        <v>172</v>
      </c>
      <c r="R19" s="127" t="s">
        <v>172</v>
      </c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>
        <f t="shared" si="1"/>
        <v>0</v>
      </c>
    </row>
    <row r="20" spans="1:36" ht="18.75" customHeight="1" x14ac:dyDescent="0.2">
      <c r="A20" s="141" t="s">
        <v>168</v>
      </c>
      <c r="B20" s="139">
        <f>DEC!B20+1.25- (COUNTIF(E20:AI20, "VL") * 1) - (COUNTIF(E20:AI20, "HDL") * 0.5)</f>
        <v>9.25</v>
      </c>
      <c r="C20" s="140">
        <f t="shared" si="0"/>
        <v>3</v>
      </c>
      <c r="D20" s="158"/>
      <c r="E20" s="127"/>
      <c r="F20" s="127" t="s">
        <v>172</v>
      </c>
      <c r="G20" s="127"/>
      <c r="H20" s="127"/>
      <c r="I20" s="127"/>
      <c r="J20" s="127" t="s">
        <v>173</v>
      </c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 t="s">
        <v>173</v>
      </c>
      <c r="AC20" s="127"/>
      <c r="AD20" s="127"/>
      <c r="AE20" s="127"/>
      <c r="AF20" s="127"/>
      <c r="AG20" s="127"/>
      <c r="AH20" s="127"/>
      <c r="AI20" s="127" t="s">
        <v>172</v>
      </c>
      <c r="AJ20">
        <f t="shared" si="1"/>
        <v>2</v>
      </c>
    </row>
    <row r="21" spans="1:36" ht="18.75" customHeight="1" x14ac:dyDescent="0.2">
      <c r="A21" s="141" t="s">
        <v>156</v>
      </c>
      <c r="B21" s="139">
        <f>DEC!B21+1.25- (COUNTIF(E21:AI21, "VL") * 1) - (COUNTIF(E21:AI21, "HDL") * 0.5)</f>
        <v>1.5</v>
      </c>
      <c r="C21" s="140">
        <f t="shared" si="0"/>
        <v>4</v>
      </c>
      <c r="D21" s="158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 t="s">
        <v>173</v>
      </c>
      <c r="AB21" s="127"/>
      <c r="AC21" s="127"/>
      <c r="AD21" s="127"/>
      <c r="AE21" s="127"/>
      <c r="AF21" s="127"/>
      <c r="AG21" s="127"/>
      <c r="AH21" s="127"/>
      <c r="AI21" s="127"/>
      <c r="AJ21">
        <f t="shared" si="1"/>
        <v>1</v>
      </c>
    </row>
    <row r="22" spans="1:36" ht="18.75" customHeight="1" x14ac:dyDescent="0.2">
      <c r="A22" s="125" t="s">
        <v>183</v>
      </c>
      <c r="B22" s="139">
        <f>DEC!B22+1.25- (COUNTIF(E22:AI22, "VL") * 1) - (COUNTIF(E22:AI22, "HDL") * 0.5)</f>
        <v>4.25</v>
      </c>
      <c r="C22" s="140">
        <f t="shared" si="0"/>
        <v>5</v>
      </c>
      <c r="D22" s="158">
        <f>7- COUNTIF(E22:AI22, "SPL")</f>
        <v>6</v>
      </c>
      <c r="E22" s="127"/>
      <c r="F22" s="127" t="s">
        <v>172</v>
      </c>
      <c r="G22" s="127" t="s">
        <v>172</v>
      </c>
      <c r="H22" s="127"/>
      <c r="I22" s="127"/>
      <c r="J22" s="127"/>
      <c r="K22" s="127"/>
      <c r="L22" s="127" t="s">
        <v>174</v>
      </c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7"/>
      <c r="AH22" s="127"/>
      <c r="AI22" s="127"/>
      <c r="AJ22">
        <f t="shared" si="1"/>
        <v>0</v>
      </c>
    </row>
    <row r="23" spans="1:36" s="155" customFormat="1" ht="18.75" customHeight="1" x14ac:dyDescent="0.2">
      <c r="A23" s="153" t="s">
        <v>146</v>
      </c>
      <c r="B23" s="139">
        <f>DEC!B23+1.25- (COUNTIF(E23:AI23, "VL") * 1) - (COUNTIF(E23:AI23, "HDL") * 0.5)</f>
        <v>6.25</v>
      </c>
      <c r="C23" s="140">
        <f t="shared" si="0"/>
        <v>4</v>
      </c>
      <c r="D23" s="158"/>
      <c r="E23" s="154"/>
      <c r="F23" s="154" t="s">
        <v>172</v>
      </c>
      <c r="G23" s="154" t="s">
        <v>172</v>
      </c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 t="s">
        <v>173</v>
      </c>
      <c r="AB23" s="154"/>
      <c r="AC23" s="154"/>
      <c r="AD23" s="154"/>
      <c r="AE23" s="154"/>
      <c r="AF23" s="154"/>
      <c r="AG23" s="154"/>
      <c r="AH23" s="154"/>
      <c r="AI23" s="154"/>
      <c r="AJ23">
        <f t="shared" si="1"/>
        <v>1</v>
      </c>
    </row>
    <row r="24" spans="1:36" ht="18.75" customHeight="1" x14ac:dyDescent="0.2">
      <c r="A24" s="125" t="s">
        <v>184</v>
      </c>
      <c r="B24" s="139">
        <f>DEC!B24+1.25- (COUNTIF(E24:AI24, "VL") * 1) - (COUNTIF(E24:AI24, "HDL") * 0.5)</f>
        <v>4.75</v>
      </c>
      <c r="C24" s="140">
        <f t="shared" si="0"/>
        <v>3</v>
      </c>
      <c r="D24" s="158"/>
      <c r="E24" s="127"/>
      <c r="F24" s="127"/>
      <c r="G24" s="127" t="s">
        <v>172</v>
      </c>
      <c r="H24" s="127"/>
      <c r="I24" s="127"/>
      <c r="J24" s="127"/>
      <c r="K24" s="127"/>
      <c r="L24" s="127" t="s">
        <v>182</v>
      </c>
      <c r="M24" s="127"/>
      <c r="N24" s="127"/>
      <c r="O24" s="127"/>
      <c r="P24" s="127"/>
      <c r="Q24" s="127" t="s">
        <v>172</v>
      </c>
      <c r="R24" s="127"/>
      <c r="S24" s="127"/>
      <c r="T24" s="127"/>
      <c r="U24" s="127"/>
      <c r="V24" s="127"/>
      <c r="W24" s="127"/>
      <c r="X24" s="127" t="s">
        <v>173</v>
      </c>
      <c r="Y24" s="127"/>
      <c r="Z24" s="127"/>
      <c r="AA24" s="127"/>
      <c r="AB24" s="127"/>
      <c r="AC24" s="127"/>
      <c r="AD24" s="127"/>
      <c r="AE24" s="127"/>
      <c r="AF24" s="127" t="s">
        <v>173</v>
      </c>
      <c r="AG24" s="127"/>
      <c r="AH24" s="127"/>
      <c r="AI24" s="127"/>
      <c r="AJ24">
        <f t="shared" si="1"/>
        <v>2</v>
      </c>
    </row>
    <row r="25" spans="1:36" ht="18.75" customHeight="1" x14ac:dyDescent="0.2">
      <c r="A25" s="141" t="s">
        <v>157</v>
      </c>
      <c r="B25" s="139">
        <f>DEC!B25+1.25- (COUNTIF(E25:AI25, "VL") * 1) - (COUNTIF(E25:AI25, "HDL") * 0.5)</f>
        <v>5.5</v>
      </c>
      <c r="C25" s="140">
        <f t="shared" si="0"/>
        <v>4</v>
      </c>
      <c r="D25" s="158"/>
      <c r="E25" s="127"/>
      <c r="F25" s="127"/>
      <c r="G25" s="127" t="s">
        <v>172</v>
      </c>
      <c r="H25" s="127"/>
      <c r="I25" s="127"/>
      <c r="J25" s="127"/>
      <c r="K25" s="127"/>
      <c r="L25" s="127"/>
      <c r="M25" s="127"/>
      <c r="N25" s="127" t="s">
        <v>172</v>
      </c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 t="s">
        <v>173</v>
      </c>
      <c r="AB25" s="127"/>
      <c r="AC25" s="127"/>
      <c r="AD25" s="127"/>
      <c r="AE25" s="127"/>
      <c r="AF25" s="127"/>
      <c r="AG25" s="127"/>
      <c r="AH25" s="127"/>
      <c r="AI25" s="127"/>
      <c r="AJ25">
        <f t="shared" si="1"/>
        <v>1</v>
      </c>
    </row>
    <row r="26" spans="1:36" ht="18.75" customHeight="1" x14ac:dyDescent="0.2">
      <c r="A26" s="141" t="s">
        <v>161</v>
      </c>
      <c r="B26" s="139">
        <f>DEC!B26+1.25- (COUNTIF(E26:AI26, "VL") * 1) - (COUNTIF(E26:AI26, "HDL") * 0.5)</f>
        <v>1.25</v>
      </c>
      <c r="C26" s="140">
        <f t="shared" si="0"/>
        <v>2</v>
      </c>
      <c r="D26" s="158"/>
      <c r="E26" s="127"/>
      <c r="F26" s="127"/>
      <c r="G26" s="127"/>
      <c r="H26" s="127"/>
      <c r="I26" s="127"/>
      <c r="J26" s="127"/>
      <c r="K26" s="127"/>
      <c r="L26" s="127" t="s">
        <v>173</v>
      </c>
      <c r="M26" s="127" t="s">
        <v>175</v>
      </c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 t="s">
        <v>173</v>
      </c>
      <c r="AC26" s="127"/>
      <c r="AD26" s="127"/>
      <c r="AE26" s="127"/>
      <c r="AF26" s="127"/>
      <c r="AG26" s="127" t="s">
        <v>175</v>
      </c>
      <c r="AH26" s="127"/>
      <c r="AI26" s="127"/>
      <c r="AJ26">
        <f t="shared" si="1"/>
        <v>2</v>
      </c>
    </row>
    <row r="27" spans="1:36" ht="18.75" customHeight="1" x14ac:dyDescent="0.2">
      <c r="A27" s="141" t="s">
        <v>167</v>
      </c>
      <c r="B27" s="139">
        <f>DEC!B27+1.25- (COUNTIF(E27:AI27, "VL") * 1) - (COUNTIF(E27:AI27, "HDL") * 0.5)</f>
        <v>7.5</v>
      </c>
      <c r="C27" s="140">
        <f t="shared" si="0"/>
        <v>5</v>
      </c>
      <c r="D27" s="158"/>
      <c r="E27" s="127"/>
      <c r="F27" s="127" t="s">
        <v>172</v>
      </c>
      <c r="G27" s="127" t="s">
        <v>172</v>
      </c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>
        <f t="shared" si="1"/>
        <v>0</v>
      </c>
    </row>
    <row r="28" spans="1:36" ht="18.75" customHeight="1" x14ac:dyDescent="0.2">
      <c r="A28" s="141" t="s">
        <v>159</v>
      </c>
      <c r="B28" s="139">
        <f>DEC!B28+1.25- (COUNTIF(E28:AI28, "VL") * 1) - (COUNTIF(E28:AI28, "HDL") * 0.5)</f>
        <v>11.25</v>
      </c>
      <c r="C28" s="140">
        <f t="shared" si="0"/>
        <v>5</v>
      </c>
      <c r="D28" s="158"/>
      <c r="E28" s="127"/>
      <c r="F28" s="127" t="s">
        <v>172</v>
      </c>
      <c r="G28" s="127"/>
      <c r="H28" s="127"/>
      <c r="I28" s="127" t="s">
        <v>172</v>
      </c>
      <c r="J28" s="127" t="s">
        <v>172</v>
      </c>
      <c r="K28" s="127" t="s">
        <v>172</v>
      </c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>
        <f t="shared" si="1"/>
        <v>0</v>
      </c>
    </row>
    <row r="29" spans="1:36" ht="18.75" customHeight="1" x14ac:dyDescent="0.2">
      <c r="A29" s="141" t="s">
        <v>185</v>
      </c>
      <c r="B29" s="139">
        <f>DEC!B29+1.25- (COUNTIF(E29:AI29, "VL") * 1) - (COUNTIF(E29:AI29, "HDL") * 0.5)</f>
        <v>7.75</v>
      </c>
      <c r="C29" s="140">
        <f t="shared" si="0"/>
        <v>4</v>
      </c>
      <c r="D29" s="158"/>
      <c r="E29" s="127"/>
      <c r="F29" s="127" t="s">
        <v>172</v>
      </c>
      <c r="G29" s="127" t="s">
        <v>172</v>
      </c>
      <c r="H29" s="127"/>
      <c r="I29" s="127"/>
      <c r="J29" s="127" t="s">
        <v>173</v>
      </c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>
        <f t="shared" si="1"/>
        <v>1</v>
      </c>
    </row>
    <row r="30" spans="1:36" ht="18.75" customHeight="1" x14ac:dyDescent="0.2">
      <c r="A30" s="141" t="s">
        <v>148</v>
      </c>
      <c r="B30" s="139">
        <f>DEC!B30+1.25- (COUNTIF(E30:AI30, "VL") * 1) - (COUNTIF(E30:AI30, "HDL") * 0.5)</f>
        <v>4.75</v>
      </c>
      <c r="C30" s="140">
        <f t="shared" si="0"/>
        <v>4</v>
      </c>
      <c r="D30" s="158"/>
      <c r="E30" s="127"/>
      <c r="F30" s="127" t="s">
        <v>172</v>
      </c>
      <c r="G30" s="127"/>
      <c r="H30" s="127"/>
      <c r="I30" s="127"/>
      <c r="J30" s="127"/>
      <c r="K30" s="127"/>
      <c r="L30" s="127" t="s">
        <v>173</v>
      </c>
      <c r="M30" s="127"/>
      <c r="N30" s="127" t="s">
        <v>172</v>
      </c>
      <c r="O30" s="127"/>
      <c r="P30" s="127"/>
      <c r="Q30" s="127" t="s">
        <v>172</v>
      </c>
      <c r="R30" s="127" t="s">
        <v>172</v>
      </c>
      <c r="S30" s="127" t="s">
        <v>172</v>
      </c>
      <c r="T30" s="127" t="s">
        <v>172</v>
      </c>
      <c r="U30" s="127" t="s">
        <v>172</v>
      </c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 t="s">
        <v>172</v>
      </c>
      <c r="AJ30">
        <f t="shared" si="1"/>
        <v>1</v>
      </c>
    </row>
    <row r="31" spans="1:36" ht="18.75" customHeight="1" x14ac:dyDescent="0.2">
      <c r="A31" s="141" t="s">
        <v>171</v>
      </c>
      <c r="B31" s="139">
        <f>DEC!B31+1.25- (COUNTIF(E31:AI31, "VL") * 1) - (COUNTIF(E31:AI31, "HDL") * 0.5)</f>
        <v>17.75</v>
      </c>
      <c r="C31" s="140">
        <f t="shared" si="0"/>
        <v>5</v>
      </c>
      <c r="D31" s="158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>
        <f t="shared" si="1"/>
        <v>0</v>
      </c>
    </row>
    <row r="32" spans="1:36" ht="18.75" customHeight="1" x14ac:dyDescent="0.2">
      <c r="A32" s="125" t="s">
        <v>186</v>
      </c>
      <c r="B32" s="139">
        <f>DEC!B32+1.25- (COUNTIF(E32:AI32, "VL") * 1) - (COUNTIF(E32:AI32, "HDL") * 0.5)</f>
        <v>6.75</v>
      </c>
      <c r="C32" s="140">
        <f t="shared" si="0"/>
        <v>4.5</v>
      </c>
      <c r="D32" s="158"/>
      <c r="E32" s="127"/>
      <c r="F32" s="127" t="s">
        <v>175</v>
      </c>
      <c r="G32" s="127"/>
      <c r="H32" s="127"/>
      <c r="I32" s="127"/>
      <c r="J32" s="127"/>
      <c r="K32" s="127"/>
      <c r="L32" s="127" t="s">
        <v>172</v>
      </c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>
        <f t="shared" si="1"/>
        <v>0</v>
      </c>
    </row>
    <row r="33" spans="1:36" ht="18.75" customHeight="1" x14ac:dyDescent="0.2">
      <c r="A33" s="141" t="s">
        <v>188</v>
      </c>
      <c r="B33" s="139">
        <f>DEC!B33+1.25- (COUNTIF(E33:AI33, "VL") * 1) - (COUNTIF(E33:AI33, "HDL") * 0.5)</f>
        <v>3.25</v>
      </c>
      <c r="C33" s="140">
        <f t="shared" si="0"/>
        <v>2.5</v>
      </c>
      <c r="D33" s="138"/>
      <c r="E33" s="127"/>
      <c r="F33" s="127"/>
      <c r="G33" s="127"/>
      <c r="H33" s="127"/>
      <c r="I33" s="127"/>
      <c r="J33" s="127"/>
      <c r="K33" s="127" t="s">
        <v>173</v>
      </c>
      <c r="L33" s="127" t="s">
        <v>172</v>
      </c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 t="s">
        <v>175</v>
      </c>
      <c r="Y33" s="127" t="s">
        <v>173</v>
      </c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>
        <f t="shared" si="1"/>
        <v>2</v>
      </c>
    </row>
    <row r="34" spans="1:36" ht="18.75" customHeight="1" x14ac:dyDescent="0.2">
      <c r="A34" s="141" t="s">
        <v>187</v>
      </c>
      <c r="B34" s="139">
        <f>DEC!B34+1.25- (COUNTIF(E34:AI34, "VL") * 1) - (COUNTIF(E34:AI34, "HDL") * 0.5)</f>
        <v>4.75</v>
      </c>
      <c r="C34" s="140">
        <f t="shared" si="0"/>
        <v>5</v>
      </c>
      <c r="D34" s="158"/>
      <c r="E34" s="127"/>
      <c r="F34" s="127" t="s">
        <v>172</v>
      </c>
      <c r="G34" s="127" t="s">
        <v>172</v>
      </c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>
        <f t="shared" si="1"/>
        <v>0</v>
      </c>
    </row>
    <row r="35" spans="1:36" ht="18.75" customHeight="1" x14ac:dyDescent="0.2">
      <c r="A35" s="189" t="s">
        <v>219</v>
      </c>
      <c r="B35" s="139">
        <f>DEC!B35+1.25- (COUNTIF(E35:AI35, "VL") * 1) - (COUNTIF(E35:AI35, "HDL") * 0.5)</f>
        <v>9.5</v>
      </c>
      <c r="C35" s="140">
        <f>0.416666666666666*6+5-COUNTIF(E35:AI35, "SL")-(COUNTIF(E35:AI35, "HDSL") * 0.5)</f>
        <v>7.4999999999999964</v>
      </c>
      <c r="D35" s="158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>
        <f t="shared" si="1"/>
        <v>0</v>
      </c>
    </row>
    <row r="36" spans="1:36" ht="18.75" customHeight="1" x14ac:dyDescent="0.2">
      <c r="A36" s="141" t="s">
        <v>154</v>
      </c>
      <c r="B36" s="139">
        <f>DEC!B36+1.25- (COUNTIF(E36:AI36, "VL") * 1) - (COUNTIF(E36:AI36, "HDL") * 0.5)</f>
        <v>2.25</v>
      </c>
      <c r="C36" s="140">
        <f>5- COUNTIF(E36:AI36, "SL")-(COUNTIF(E36:AI36, "HDSL") * 0.5)</f>
        <v>3</v>
      </c>
      <c r="D36" s="158"/>
      <c r="E36" s="151"/>
      <c r="F36" s="151" t="s">
        <v>172</v>
      </c>
      <c r="G36" s="151" t="s">
        <v>172</v>
      </c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 t="s">
        <v>172</v>
      </c>
      <c r="T36" s="151" t="s">
        <v>172</v>
      </c>
      <c r="U36" s="151"/>
      <c r="V36" s="151"/>
      <c r="W36" s="151"/>
      <c r="X36" s="151"/>
      <c r="Y36" s="151" t="s">
        <v>173</v>
      </c>
      <c r="Z36" s="151"/>
      <c r="AA36" s="151" t="s">
        <v>173</v>
      </c>
      <c r="AB36" s="151" t="s">
        <v>172</v>
      </c>
      <c r="AC36" s="151"/>
      <c r="AD36" s="151"/>
      <c r="AE36" s="151"/>
      <c r="AF36" s="151"/>
      <c r="AG36" s="151"/>
      <c r="AH36" s="151"/>
      <c r="AI36" s="151"/>
      <c r="AJ36">
        <f t="shared" si="1"/>
        <v>2</v>
      </c>
    </row>
    <row r="37" spans="1:36" ht="18.75" customHeight="1" x14ac:dyDescent="0.2">
      <c r="A37" s="125" t="s">
        <v>189</v>
      </c>
      <c r="B37" s="139">
        <f>DEC!B37+1.25- (COUNTIF(E37:AI37, "VL") * 1) - (COUNTIF(E37:AI37, "HDL") * 0.5)</f>
        <v>19</v>
      </c>
      <c r="C37" s="140">
        <f>5- COUNTIF(E37:AI37, "SL")-(COUNTIF(E37:AI37, "HDSL") * 0.5)</f>
        <v>4</v>
      </c>
      <c r="D37" s="158"/>
      <c r="E37" s="149"/>
      <c r="F37" s="149" t="s">
        <v>172</v>
      </c>
      <c r="G37" s="149" t="s">
        <v>172</v>
      </c>
      <c r="H37" s="149"/>
      <c r="I37" s="149"/>
      <c r="J37" s="149"/>
      <c r="K37" s="149"/>
      <c r="L37" s="149" t="s">
        <v>173</v>
      </c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  <c r="AC37" s="149"/>
      <c r="AD37" s="149"/>
      <c r="AE37" s="149"/>
      <c r="AF37" s="149"/>
      <c r="AG37" s="149"/>
      <c r="AH37" s="149"/>
      <c r="AI37" s="149" t="s">
        <v>172</v>
      </c>
      <c r="AJ37">
        <f t="shared" si="1"/>
        <v>1</v>
      </c>
    </row>
    <row r="38" spans="1:36" ht="18.75" customHeight="1" x14ac:dyDescent="0.2">
      <c r="A38" s="141" t="s">
        <v>155</v>
      </c>
      <c r="B38" s="139">
        <f>DEC!B38+1.25- (COUNTIF(E38:AI38, "VL") * 1) - (COUNTIF(E38:AI38, "HDL") * 0.5)</f>
        <v>1.5</v>
      </c>
      <c r="C38" s="140">
        <f>5- COUNTIF(E38:AI38, "SL")-(COUNTIF(E38:AI38, "HDSL") * 0.5)</f>
        <v>4</v>
      </c>
      <c r="D38" s="158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 t="s">
        <v>173</v>
      </c>
      <c r="AB38" s="127"/>
      <c r="AC38" s="127"/>
      <c r="AD38" s="127"/>
      <c r="AE38" s="127"/>
      <c r="AF38" s="127"/>
      <c r="AG38" s="127"/>
      <c r="AH38" s="127"/>
      <c r="AI38" s="127"/>
      <c r="AJ38">
        <f t="shared" si="1"/>
        <v>1</v>
      </c>
    </row>
    <row r="39" spans="1:36" ht="18.75" customHeight="1" x14ac:dyDescent="0.2">
      <c r="A39" s="141" t="s">
        <v>190</v>
      </c>
      <c r="B39" s="139">
        <f>DEC!B39+1.25- (COUNTIF(E39:AI39, "VL") * 1) - (COUNTIF(E39:AI39, "HDL") * 0.5)</f>
        <v>3.75</v>
      </c>
      <c r="C39" s="140">
        <f>5- COUNTIF(E39:AI39, "SL")-(COUNTIF(E39:AI39, "HDSL") * 0.5)</f>
        <v>5</v>
      </c>
      <c r="D39" s="138"/>
      <c r="E39" s="127"/>
      <c r="F39" s="127" t="s">
        <v>172</v>
      </c>
      <c r="G39" s="127" t="s">
        <v>172</v>
      </c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>
        <f t="shared" si="1"/>
        <v>0</v>
      </c>
    </row>
    <row r="40" spans="1:36" ht="18.75" customHeight="1" x14ac:dyDescent="0.2">
      <c r="A40" s="141" t="s">
        <v>166</v>
      </c>
      <c r="B40" s="139">
        <f>DEC!B40+1.25- (COUNTIF(E40:AI40, "VL") * 1) - (COUNTIF(E40:AI40, "HDL") * 0.5)</f>
        <v>5.5</v>
      </c>
      <c r="C40" s="140">
        <f>5- COUNTIF(E40:AI40, "SL")-(COUNTIF(E40:AI40, "HDSL") * 0.5)</f>
        <v>4</v>
      </c>
      <c r="D40" s="158"/>
      <c r="E40" s="127"/>
      <c r="F40" s="127" t="s">
        <v>172</v>
      </c>
      <c r="G40" s="127" t="s">
        <v>172</v>
      </c>
      <c r="H40" s="127"/>
      <c r="I40" s="127"/>
      <c r="J40" s="127" t="s">
        <v>172</v>
      </c>
      <c r="K40" s="127" t="s">
        <v>172</v>
      </c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 t="s">
        <v>173</v>
      </c>
      <c r="AC40" s="127"/>
      <c r="AD40" s="127"/>
      <c r="AE40" s="127"/>
      <c r="AF40" s="127"/>
      <c r="AG40" s="127"/>
      <c r="AH40" s="127"/>
      <c r="AI40" s="127" t="s">
        <v>172</v>
      </c>
      <c r="AJ40">
        <f t="shared" si="1"/>
        <v>1</v>
      </c>
    </row>
    <row r="41" spans="1:36" x14ac:dyDescent="0.25">
      <c r="A41" s="133"/>
      <c r="AJ41">
        <f t="shared" si="1"/>
        <v>0</v>
      </c>
    </row>
    <row r="42" spans="1:36" x14ac:dyDescent="0.25">
      <c r="A42" s="133"/>
      <c r="AJ42">
        <f t="shared" si="1"/>
        <v>0</v>
      </c>
    </row>
    <row r="43" spans="1:36" x14ac:dyDescent="0.25">
      <c r="A43" s="133"/>
      <c r="AJ43">
        <f t="shared" si="1"/>
        <v>0</v>
      </c>
    </row>
    <row r="44" spans="1:36" x14ac:dyDescent="0.25">
      <c r="A44" s="133"/>
      <c r="AJ44">
        <f t="shared" si="1"/>
        <v>0</v>
      </c>
    </row>
    <row r="45" spans="1:36" x14ac:dyDescent="0.25">
      <c r="A45" s="133"/>
      <c r="AJ45">
        <f t="shared" si="1"/>
        <v>0</v>
      </c>
    </row>
    <row r="46" spans="1:36" x14ac:dyDescent="0.25">
      <c r="A46" s="133"/>
      <c r="AJ46">
        <f t="shared" si="1"/>
        <v>0</v>
      </c>
    </row>
    <row r="47" spans="1:36" x14ac:dyDescent="0.25">
      <c r="A47" s="133"/>
      <c r="AJ47">
        <f t="shared" si="1"/>
        <v>0</v>
      </c>
    </row>
    <row r="48" spans="1:36" x14ac:dyDescent="0.25">
      <c r="A48" s="133"/>
      <c r="AJ48">
        <f t="shared" si="1"/>
        <v>0</v>
      </c>
    </row>
    <row r="49" spans="36:36" x14ac:dyDescent="0.25">
      <c r="AJ49">
        <f t="shared" si="1"/>
        <v>0</v>
      </c>
    </row>
    <row r="50" spans="36:36" x14ac:dyDescent="0.25">
      <c r="AJ50">
        <f t="shared" si="1"/>
        <v>0</v>
      </c>
    </row>
    <row r="51" spans="36:36" x14ac:dyDescent="0.25">
      <c r="AJ51">
        <f t="shared" si="1"/>
        <v>0</v>
      </c>
    </row>
    <row r="52" spans="36:36" x14ac:dyDescent="0.25">
      <c r="AJ52">
        <f t="shared" si="1"/>
        <v>0</v>
      </c>
    </row>
    <row r="53" spans="36:36" x14ac:dyDescent="0.25">
      <c r="AJ53">
        <f t="shared" si="1"/>
        <v>0</v>
      </c>
    </row>
    <row r="54" spans="36:36" x14ac:dyDescent="0.25">
      <c r="AJ54">
        <f t="shared" si="1"/>
        <v>0</v>
      </c>
    </row>
    <row r="55" spans="36:36" x14ac:dyDescent="0.25">
      <c r="AJ55">
        <f t="shared" si="1"/>
        <v>0</v>
      </c>
    </row>
    <row r="56" spans="36:36" x14ac:dyDescent="0.25">
      <c r="AJ56">
        <f t="shared" si="1"/>
        <v>0</v>
      </c>
    </row>
    <row r="57" spans="36:36" x14ac:dyDescent="0.25">
      <c r="AJ57">
        <f t="shared" si="1"/>
        <v>0</v>
      </c>
    </row>
    <row r="58" spans="36:36" x14ac:dyDescent="0.25">
      <c r="AJ58">
        <f t="shared" si="1"/>
        <v>0</v>
      </c>
    </row>
    <row r="59" spans="36:36" x14ac:dyDescent="0.25">
      <c r="AJ59">
        <f t="shared" si="1"/>
        <v>0</v>
      </c>
    </row>
    <row r="60" spans="36:36" x14ac:dyDescent="0.25">
      <c r="AJ60">
        <f t="shared" si="1"/>
        <v>0</v>
      </c>
    </row>
    <row r="61" spans="36:36" x14ac:dyDescent="0.25">
      <c r="AJ61">
        <f t="shared" si="1"/>
        <v>0</v>
      </c>
    </row>
    <row r="62" spans="36:36" x14ac:dyDescent="0.25">
      <c r="AJ62">
        <f t="shared" si="1"/>
        <v>0</v>
      </c>
    </row>
    <row r="63" spans="36:36" x14ac:dyDescent="0.25">
      <c r="AJ63">
        <f t="shared" si="1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7BC6C-917A-4EC2-AC96-BA570087859A}">
  <dimension ref="A1:AJ63"/>
  <sheetViews>
    <sheetView workbookViewId="0">
      <pane ySplit="1" topLeftCell="A16" activePane="bottomLeft" state="frozen"/>
      <selection pane="bottomLeft" activeCell="B31" sqref="B31"/>
    </sheetView>
  </sheetViews>
  <sheetFormatPr defaultRowHeight="15" x14ac:dyDescent="0.25"/>
  <cols>
    <col min="1" max="1" width="52.1640625" style="156" customWidth="1"/>
    <col min="2" max="3" width="9.1640625" style="129" customWidth="1"/>
    <col min="4" max="4" width="9.33203125" style="129" customWidth="1"/>
    <col min="5" max="19" width="8.5" style="126" customWidth="1"/>
    <col min="20" max="21" width="9.33203125" style="126" customWidth="1"/>
    <col min="22" max="32" width="8.5" style="126" customWidth="1"/>
  </cols>
  <sheetData>
    <row r="1" spans="1:36" x14ac:dyDescent="0.2">
      <c r="A1" s="134" t="s">
        <v>124</v>
      </c>
      <c r="B1" s="136" t="s">
        <v>172</v>
      </c>
      <c r="C1" s="137" t="s">
        <v>173</v>
      </c>
      <c r="D1" s="138" t="s">
        <v>174</v>
      </c>
      <c r="E1" s="135">
        <v>45323</v>
      </c>
      <c r="F1" s="135">
        <v>45324</v>
      </c>
      <c r="G1" s="135">
        <v>45325</v>
      </c>
      <c r="H1" s="135">
        <v>45326</v>
      </c>
      <c r="I1" s="135">
        <v>45327</v>
      </c>
      <c r="J1" s="135">
        <v>45328</v>
      </c>
      <c r="K1" s="135">
        <v>45329</v>
      </c>
      <c r="L1" s="135">
        <v>45330</v>
      </c>
      <c r="M1" s="135">
        <v>45331</v>
      </c>
      <c r="N1" s="135">
        <v>45332</v>
      </c>
      <c r="O1" s="135">
        <v>45333</v>
      </c>
      <c r="P1" s="135">
        <v>45334</v>
      </c>
      <c r="Q1" s="135">
        <v>45335</v>
      </c>
      <c r="R1" s="135">
        <v>45336</v>
      </c>
      <c r="S1" s="135">
        <v>45337</v>
      </c>
      <c r="T1" s="135">
        <v>45338</v>
      </c>
      <c r="U1" s="135">
        <v>45339</v>
      </c>
      <c r="V1" s="135">
        <v>45340</v>
      </c>
      <c r="W1" s="135">
        <v>45341</v>
      </c>
      <c r="X1" s="135">
        <v>45342</v>
      </c>
      <c r="Y1" s="135">
        <v>45343</v>
      </c>
      <c r="Z1" s="135">
        <v>45344</v>
      </c>
      <c r="AA1" s="135">
        <v>45345</v>
      </c>
      <c r="AB1" s="135">
        <v>45346</v>
      </c>
      <c r="AC1" s="135">
        <v>45347</v>
      </c>
      <c r="AD1" s="135">
        <v>45348</v>
      </c>
      <c r="AE1" s="135">
        <v>45349</v>
      </c>
      <c r="AF1" s="135">
        <v>45350</v>
      </c>
      <c r="AJ1" t="s">
        <v>220</v>
      </c>
    </row>
    <row r="2" spans="1:36" ht="18.75" customHeight="1" x14ac:dyDescent="0.2">
      <c r="A2" s="141" t="s">
        <v>158</v>
      </c>
      <c r="B2" s="139">
        <f>'Jan2025'!B2+1.25- (COUNTIF(E2:AI2, "VL") * 1) - (COUNTIF(E2:AI2, "HDL") * 0.5)</f>
        <v>7.5</v>
      </c>
      <c r="C2" s="140">
        <f>'Jan2025'!C2-COUNTIF(E2:AI2, "SL")-(COUNTIF(E2:AI2, "HDSL") * 0.5)</f>
        <v>4</v>
      </c>
      <c r="D2" s="158">
        <f>'Jan2025'!D2-COUNTIF(E2:AI2, "SPL")</f>
        <v>0</v>
      </c>
      <c r="E2" s="154"/>
      <c r="F2" s="154"/>
      <c r="G2" s="154"/>
      <c r="H2" s="154" t="s">
        <v>172</v>
      </c>
      <c r="I2" s="154" t="s">
        <v>172</v>
      </c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J2">
        <f>COUNTIF(E2:AI2,"SL")</f>
        <v>0</v>
      </c>
    </row>
    <row r="3" spans="1:36" ht="18.75" customHeight="1" x14ac:dyDescent="0.2">
      <c r="A3" s="141" t="s">
        <v>160</v>
      </c>
      <c r="B3" s="139">
        <f>'Jan2025'!B3+1.25- (COUNTIF(E3:AI3, "VL") * 1) - (COUNTIF(E3:AI3, "HDL") * 0.5)</f>
        <v>13.5</v>
      </c>
      <c r="C3" s="140">
        <f>'Jan2025'!C3-COUNTIF(E3:AI3, "SL")-(COUNTIF(E3:AI3, "HDSL") * 0.5)</f>
        <v>5</v>
      </c>
      <c r="D3" s="158">
        <f>'Jan2025'!D3-COUNTIF(E3:AI3, "SPL")</f>
        <v>0</v>
      </c>
      <c r="E3" s="154"/>
      <c r="F3" s="154"/>
      <c r="G3" s="154"/>
      <c r="H3" s="154"/>
      <c r="I3" s="154"/>
      <c r="J3" s="162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J3">
        <f t="shared" ref="AJ3:AJ63" si="0">COUNTIF(E3:AI3,"SL")</f>
        <v>0</v>
      </c>
    </row>
    <row r="4" spans="1:36" ht="18.75" customHeight="1" x14ac:dyDescent="0.2">
      <c r="A4" s="141" t="s">
        <v>149</v>
      </c>
      <c r="B4" s="139">
        <f>'Jan2025'!B4+1.25- (COUNTIF(E4:AI4, "VL") * 1) - (COUNTIF(E4:AI4, "HDL") * 0.5)</f>
        <v>14.25</v>
      </c>
      <c r="C4" s="140">
        <f>'Jan2025'!C4-COUNTIF(E4:AI4, "SL")-(COUNTIF(E4:AI4, "HDSL") * 0.5)</f>
        <v>4</v>
      </c>
      <c r="D4" s="158">
        <f>'Jan2025'!D4-COUNTIF(E4:AI4, "SPL")</f>
        <v>0</v>
      </c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J4">
        <f t="shared" si="0"/>
        <v>0</v>
      </c>
    </row>
    <row r="5" spans="1:36" ht="18.75" customHeight="1" x14ac:dyDescent="0.2">
      <c r="A5" s="141" t="s">
        <v>142</v>
      </c>
      <c r="B5" s="139">
        <f>'Jan2025'!B5+1.25- (COUNTIF(E5:AI5, "VL") * 1) - (COUNTIF(E5:AI5, "HDL") * 0.5)</f>
        <v>7.5</v>
      </c>
      <c r="C5" s="140">
        <f>'Jan2025'!C5-COUNTIF(E5:AI5, "SL")-(COUNTIF(E5:AI5, "HDSL") * 0.5)</f>
        <v>4.5</v>
      </c>
      <c r="D5" s="158">
        <f>'Jan2025'!D5-COUNTIF(E5:AI5, "SPL")</f>
        <v>0</v>
      </c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 t="s">
        <v>172</v>
      </c>
      <c r="S5" s="154"/>
      <c r="T5" s="154"/>
      <c r="U5" s="154" t="s">
        <v>182</v>
      </c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J5">
        <f t="shared" si="0"/>
        <v>0</v>
      </c>
    </row>
    <row r="6" spans="1:36" ht="18.75" customHeight="1" x14ac:dyDescent="0.2">
      <c r="A6" s="141" t="s">
        <v>176</v>
      </c>
      <c r="B6" s="139">
        <f>'Jan2025'!B6+1.25- (COUNTIF(E6:AI6, "VL") * 1) - (COUNTIF(E6:AI6, "HDL") * 0.5)</f>
        <v>1.5</v>
      </c>
      <c r="C6" s="140">
        <f>'Jan2025'!C6-COUNTIF(E6:AI6, "SL")-(COUNTIF(E6:AI6, "HDSL") * 0.5)</f>
        <v>5</v>
      </c>
      <c r="D6" s="158">
        <f>'Jan2025'!D6-COUNTIF(E6:AI6, "SPL")</f>
        <v>0</v>
      </c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 t="s">
        <v>172</v>
      </c>
      <c r="AJ6">
        <f t="shared" si="0"/>
        <v>0</v>
      </c>
    </row>
    <row r="7" spans="1:36" ht="18.75" customHeight="1" x14ac:dyDescent="0.2">
      <c r="A7" s="141" t="s">
        <v>177</v>
      </c>
      <c r="B7" s="139">
        <f>'Jan2025'!B7+1.25- (COUNTIF(E7:AI7, "VL") * 1) - (COUNTIF(E7:AI7, "HDL") * 0.5)</f>
        <v>3.25</v>
      </c>
      <c r="C7" s="140">
        <f>'Jan2025'!C7-COUNTIF(E7:AI7, "SL")-(COUNTIF(E7:AI7, "HDSL") * 0.5)</f>
        <v>4</v>
      </c>
      <c r="D7" s="158">
        <f>'Jan2025'!D7-COUNTIF(E7:AI7, "SPL")</f>
        <v>0</v>
      </c>
      <c r="E7" s="163"/>
      <c r="F7" s="164"/>
      <c r="G7" s="164"/>
      <c r="H7" s="164"/>
      <c r="I7" s="164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4" t="s">
        <v>173</v>
      </c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J7">
        <f t="shared" si="0"/>
        <v>1</v>
      </c>
    </row>
    <row r="8" spans="1:36" ht="18.75" customHeight="1" x14ac:dyDescent="0.2">
      <c r="A8" s="141" t="s">
        <v>178</v>
      </c>
      <c r="B8" s="139">
        <f>'Jan2025'!B8+1.25- (COUNTIF(E8:AI8, "VL") * 1) - (COUNTIF(E8:AI8, "HDL") * 0.5)</f>
        <v>7.5</v>
      </c>
      <c r="C8" s="140">
        <f>'Jan2025'!C8-COUNTIF(E8:AI8, "SL")-(COUNTIF(E8:AI8, "HDSL") * 0.5)</f>
        <v>5</v>
      </c>
      <c r="D8" s="158">
        <f>'Jan2025'!D8-COUNTIF(E8:AI8, "SPL")</f>
        <v>0</v>
      </c>
      <c r="E8" s="154"/>
      <c r="F8" s="154"/>
      <c r="G8" s="154"/>
      <c r="H8" s="154"/>
      <c r="I8" s="154"/>
      <c r="J8" s="154"/>
      <c r="K8" s="154"/>
      <c r="L8" s="154"/>
      <c r="M8" s="154"/>
      <c r="N8" s="154" t="s">
        <v>182</v>
      </c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F8" s="154"/>
      <c r="AJ8">
        <f t="shared" si="0"/>
        <v>0</v>
      </c>
    </row>
    <row r="9" spans="1:36" ht="18.75" customHeight="1" x14ac:dyDescent="0.2">
      <c r="A9" s="141" t="s">
        <v>162</v>
      </c>
      <c r="B9" s="139">
        <f>'Jan2025'!B9+1.25- (COUNTIF(E9:AI9, "VL") * 1) - (COUNTIF(E9:AI9, "HDL") * 0.5)</f>
        <v>6.75</v>
      </c>
      <c r="C9" s="140">
        <f>'Jan2025'!C9-COUNTIF(E9:AI9, "SL")-(COUNTIF(E9:AI9, "HDSL") * 0.5)</f>
        <v>5</v>
      </c>
      <c r="D9" s="158">
        <f>'Jan2025'!D9-COUNTIF(E9:AI9, "SPL")</f>
        <v>0</v>
      </c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 t="s">
        <v>172</v>
      </c>
      <c r="P9" s="154" t="s">
        <v>172</v>
      </c>
      <c r="Q9" s="154" t="s">
        <v>172</v>
      </c>
      <c r="R9" s="154" t="s">
        <v>172</v>
      </c>
      <c r="S9" s="154"/>
      <c r="T9" s="154"/>
      <c r="U9" s="154" t="s">
        <v>172</v>
      </c>
      <c r="V9" s="154" t="s">
        <v>172</v>
      </c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J9">
        <f t="shared" si="0"/>
        <v>0</v>
      </c>
    </row>
    <row r="10" spans="1:36" ht="18.75" customHeight="1" x14ac:dyDescent="0.2">
      <c r="A10" s="141" t="s">
        <v>179</v>
      </c>
      <c r="B10" s="139">
        <f>'Jan2025'!B10+1.25- (COUNTIF(E10:AI10, "VL") * 1) - (COUNTIF(E10:AI10, "HDL") * 0.5)</f>
        <v>4.5</v>
      </c>
      <c r="C10" s="140">
        <f>'Jan2025'!C10-COUNTIF(E10:AI10, "SL")-(COUNTIF(E10:AI10, "HDSL") * 0.5)</f>
        <v>5</v>
      </c>
      <c r="D10" s="158">
        <f>'Jan2025'!D10-COUNTIF(E10:AI10, "SPL")</f>
        <v>0</v>
      </c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J10">
        <f t="shared" si="0"/>
        <v>0</v>
      </c>
    </row>
    <row r="11" spans="1:36" ht="18.75" customHeight="1" x14ac:dyDescent="0.2">
      <c r="A11" s="141" t="s">
        <v>151</v>
      </c>
      <c r="B11" s="139">
        <f>'Jan2025'!B11+1.25- (COUNTIF(E11:AI11, "VL") * 1) - (COUNTIF(E11:AI11, "HDL") * 0.5)</f>
        <v>11.75</v>
      </c>
      <c r="C11" s="140">
        <f>'Jan2025'!C11-COUNTIF(E11:AI11, "SL")-(COUNTIF(E11:AI11, "HDSL") * 0.5)</f>
        <v>2.5</v>
      </c>
      <c r="D11" s="158">
        <f>'Jan2025'!D11-COUNTIF(E11:AI11, "SPL")</f>
        <v>5</v>
      </c>
      <c r="E11" s="154"/>
      <c r="F11" s="154"/>
      <c r="G11" s="154" t="s">
        <v>173</v>
      </c>
      <c r="H11" s="154"/>
      <c r="I11" s="154"/>
      <c r="J11" s="154"/>
      <c r="K11" s="154"/>
      <c r="L11" s="154"/>
      <c r="M11" s="154"/>
      <c r="N11" s="154"/>
      <c r="O11" s="154"/>
      <c r="P11" s="154"/>
      <c r="Q11" s="154" t="s">
        <v>174</v>
      </c>
      <c r="R11" s="154"/>
      <c r="S11" s="154"/>
      <c r="T11" s="154"/>
      <c r="U11" s="154"/>
      <c r="V11" s="154"/>
      <c r="W11" s="154" t="s">
        <v>175</v>
      </c>
      <c r="X11" s="154"/>
      <c r="Y11" s="154"/>
      <c r="Z11" s="154"/>
      <c r="AA11" s="154"/>
      <c r="AB11" s="154"/>
      <c r="AC11" s="154"/>
      <c r="AD11" s="154" t="s">
        <v>174</v>
      </c>
      <c r="AE11" s="154"/>
      <c r="AF11" s="154"/>
      <c r="AJ11">
        <f t="shared" si="0"/>
        <v>1</v>
      </c>
    </row>
    <row r="12" spans="1:36" ht="18.75" customHeight="1" x14ac:dyDescent="0.2">
      <c r="A12" s="141" t="s">
        <v>180</v>
      </c>
      <c r="B12" s="139">
        <f>'Jan2025'!B12+1.25- (COUNTIF(E12:AI12, "VL") * 1) - (COUNTIF(E12:AI12, "HDL") * 0.5)</f>
        <v>4</v>
      </c>
      <c r="C12" s="140">
        <f>'Jan2025'!C12-COUNTIF(E12:AI12, "SL")-(COUNTIF(E12:AI12, "HDSL") * 0.5)</f>
        <v>5</v>
      </c>
      <c r="D12" s="158">
        <f>'Jan2025'!D12-COUNTIF(E12:AI12, "SPL")</f>
        <v>0</v>
      </c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 t="s">
        <v>172</v>
      </c>
      <c r="AC12" s="154"/>
      <c r="AD12" s="154"/>
      <c r="AE12" s="154"/>
      <c r="AF12" s="154"/>
      <c r="AJ12">
        <f t="shared" si="0"/>
        <v>0</v>
      </c>
    </row>
    <row r="13" spans="1:36" ht="18.75" customHeight="1" x14ac:dyDescent="0.2">
      <c r="A13" s="141" t="s">
        <v>181</v>
      </c>
      <c r="B13" s="139">
        <f>'Jan2025'!B13+1.25- (COUNTIF(E13:AI13, "VL") * 1) - (COUNTIF(E13:AI13, "HDL") * 0.5)</f>
        <v>6</v>
      </c>
      <c r="C13" s="140">
        <f>'Jan2025'!C13-COUNTIF(E13:AI13, "SL")-(COUNTIF(E13:AI13, "HDSL") * 0.5)</f>
        <v>3</v>
      </c>
      <c r="D13" s="158">
        <f>'Jan2025'!D13-COUNTIF(E13:AI13, "SPL")</f>
        <v>0</v>
      </c>
      <c r="E13" s="154"/>
      <c r="F13" s="154"/>
      <c r="G13" s="154"/>
      <c r="H13" s="154"/>
      <c r="I13" s="154" t="s">
        <v>172</v>
      </c>
      <c r="J13" s="154" t="s">
        <v>172</v>
      </c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4"/>
      <c r="AJ13">
        <f t="shared" si="0"/>
        <v>0</v>
      </c>
    </row>
    <row r="14" spans="1:36" ht="18.75" customHeight="1" x14ac:dyDescent="0.2">
      <c r="A14" s="141" t="s">
        <v>221</v>
      </c>
      <c r="B14" s="139">
        <f>1.25*6- (COUNTIF(E14:AI14, "VL") * 1) - (COUNTIF(E14:AI14, "HDL") * 0.5)</f>
        <v>7.5</v>
      </c>
      <c r="C14" s="140">
        <f>0.416*6-COUNTIF(E14:AI14, "SL")-(COUNTIF(E14:AI14, "HDSL") * 0.5)</f>
        <v>2.496</v>
      </c>
      <c r="D14" s="158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J14">
        <f t="shared" si="0"/>
        <v>0</v>
      </c>
    </row>
    <row r="15" spans="1:36" ht="18.75" customHeight="1" x14ac:dyDescent="0.2">
      <c r="A15" s="141" t="s">
        <v>152</v>
      </c>
      <c r="B15" s="139">
        <f>'Jan2025'!B14+1.25- (COUNTIF(E15:AI15, "VL") * 1) - (COUNTIF(E15:AI15, "HDL") * 0.5)</f>
        <v>8.125</v>
      </c>
      <c r="C15" s="140">
        <f>'Jan2025'!C14-COUNTIF(E15:AI15, "SL")-(COUNTIF(E15:AI15, "HDSL") * 0.5)</f>
        <v>3</v>
      </c>
      <c r="D15" s="158">
        <f>'Jan2025'!D14-COUNTIF(E15:AI15, "SPL")</f>
        <v>0</v>
      </c>
      <c r="E15" s="154"/>
      <c r="F15" s="162"/>
      <c r="G15" s="162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 t="s">
        <v>172</v>
      </c>
      <c r="W15" s="154"/>
      <c r="X15" s="154" t="s">
        <v>222</v>
      </c>
      <c r="Y15" s="154"/>
      <c r="Z15" s="154"/>
      <c r="AA15" s="154"/>
      <c r="AB15" s="154"/>
      <c r="AC15" s="154"/>
      <c r="AD15" s="154"/>
      <c r="AE15" s="154"/>
      <c r="AF15" s="154"/>
      <c r="AJ15">
        <f t="shared" si="0"/>
        <v>0</v>
      </c>
    </row>
    <row r="16" spans="1:36" ht="18.75" customHeight="1" x14ac:dyDescent="0.2">
      <c r="A16" s="141" t="s">
        <v>170</v>
      </c>
      <c r="B16" s="139">
        <f>'Jan2025'!B15+1.25- (COUNTIF(E16:AI16, "VL") * 1) - (COUNTIF(E16:AI16, "HDL") * 0.5)</f>
        <v>6.5</v>
      </c>
      <c r="C16" s="140">
        <f>'Jan2025'!C15-COUNTIF(E16:AI16, "SL")-(COUNTIF(E16:AI16, "HDSL") * 0.5)</f>
        <v>3</v>
      </c>
      <c r="D16" s="158">
        <f>'Jan2025'!D15-COUNTIF(E16:AI16, "SPL")</f>
        <v>0</v>
      </c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 t="s">
        <v>172</v>
      </c>
      <c r="X16" s="154" t="s">
        <v>172</v>
      </c>
      <c r="Y16" s="154"/>
      <c r="Z16" s="154"/>
      <c r="AA16" s="154"/>
      <c r="AB16" s="154"/>
      <c r="AC16" s="154"/>
      <c r="AD16" s="154"/>
      <c r="AE16" s="154"/>
      <c r="AF16" s="154"/>
      <c r="AJ16">
        <f t="shared" si="0"/>
        <v>0</v>
      </c>
    </row>
    <row r="17" spans="1:36" ht="18.75" customHeight="1" x14ac:dyDescent="0.2">
      <c r="A17" s="141" t="s">
        <v>145</v>
      </c>
      <c r="B17" s="139">
        <f>'Jan2025'!B16+1.25- (COUNTIF(E17:AI17, "VL") * 1) - (COUNTIF(E17:AI17, "HDL") * 0.5)</f>
        <v>2.25</v>
      </c>
      <c r="C17" s="140">
        <f>'Jan2025'!C16-COUNTIF(E17:AI17, "SL")-(COUNTIF(E17:AI17, "HDSL") * 0.5)</f>
        <v>3</v>
      </c>
      <c r="D17" s="158">
        <f>'Jan2025'!D16-COUNTIF(E17:AI17, "SPL")</f>
        <v>0</v>
      </c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 t="s">
        <v>172</v>
      </c>
      <c r="S17" s="154"/>
      <c r="T17" s="154"/>
      <c r="U17" s="154"/>
      <c r="V17" s="154"/>
      <c r="W17" s="154"/>
      <c r="X17" s="154" t="s">
        <v>173</v>
      </c>
      <c r="Y17" s="154"/>
      <c r="Z17" s="154"/>
      <c r="AA17" s="154"/>
      <c r="AB17" s="154"/>
      <c r="AC17" s="154"/>
      <c r="AD17" s="154"/>
      <c r="AE17" s="154"/>
      <c r="AF17" s="154"/>
      <c r="AJ17">
        <f t="shared" si="0"/>
        <v>1</v>
      </c>
    </row>
    <row r="18" spans="1:36" ht="18.75" customHeight="1" x14ac:dyDescent="0.2">
      <c r="A18" s="141" t="s">
        <v>165</v>
      </c>
      <c r="B18" s="139">
        <f>'Jan2025'!B17+1.25- (COUNTIF(E18:AI18, "VL") * 1) - (COUNTIF(E18:AI18, "HDL") * 0.5)</f>
        <v>9.75</v>
      </c>
      <c r="C18" s="140">
        <f>'Jan2025'!C17-COUNTIF(E18:AI18, "SL")-(COUNTIF(E18:AI18, "HDSL") * 0.5)</f>
        <v>5</v>
      </c>
      <c r="D18" s="158">
        <f>'Jan2025'!D17-COUNTIF(E18:AI18, "SPL")</f>
        <v>0</v>
      </c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J18">
        <f t="shared" si="0"/>
        <v>0</v>
      </c>
    </row>
    <row r="19" spans="1:36" ht="18.75" customHeight="1" x14ac:dyDescent="0.2">
      <c r="A19" s="141" t="s">
        <v>150</v>
      </c>
      <c r="B19" s="139">
        <f>'Jan2025'!B18+1.25- (COUNTIF(E19:AI19, "VL") * 1) - (COUNTIF(E19:AI19, "HDL") * 0.5)</f>
        <v>10.75</v>
      </c>
      <c r="C19" s="140">
        <f>'Jan2025'!C18-COUNTIF(E19:AI19, "SL")-(COUNTIF(E19:AI19, "HDSL") * 0.5)</f>
        <v>3</v>
      </c>
      <c r="D19" s="158">
        <f>'Jan2025'!D18-COUNTIF(E19:AI19, "SPL")</f>
        <v>0</v>
      </c>
      <c r="E19" s="154"/>
      <c r="F19" s="154"/>
      <c r="G19" s="154"/>
      <c r="H19" s="154"/>
      <c r="I19" s="154" t="s">
        <v>172</v>
      </c>
      <c r="J19" s="154" t="s">
        <v>172</v>
      </c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 t="s">
        <v>173</v>
      </c>
      <c r="X19" s="154" t="s">
        <v>173</v>
      </c>
      <c r="Y19" s="167"/>
      <c r="Z19" s="154"/>
      <c r="AA19" s="154"/>
      <c r="AB19" s="154"/>
      <c r="AC19" s="154"/>
      <c r="AD19" s="154"/>
      <c r="AE19" s="154"/>
      <c r="AF19" s="154"/>
      <c r="AJ19">
        <f t="shared" si="0"/>
        <v>2</v>
      </c>
    </row>
    <row r="20" spans="1:36" ht="18.75" customHeight="1" x14ac:dyDescent="0.2">
      <c r="A20" s="141" t="s">
        <v>147</v>
      </c>
      <c r="B20" s="139">
        <f>'Jan2025'!B19+1.25- (COUNTIF(E20:AI20, "VL") * 1) - (COUNTIF(E20:AI20, "HDL") * 0.5)</f>
        <v>14</v>
      </c>
      <c r="C20" s="140">
        <f>'Jan2025'!C19-COUNTIF(E20:AI20, "SL")-(COUNTIF(E20:AI20, "HDSL") * 0.5)</f>
        <v>5</v>
      </c>
      <c r="D20" s="158">
        <f>'Jan2025'!D19-COUNTIF(E20:AI20, "SPL")</f>
        <v>0</v>
      </c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 t="s">
        <v>172</v>
      </c>
      <c r="AC20" s="154"/>
      <c r="AD20" s="154"/>
      <c r="AE20" s="154"/>
      <c r="AF20" s="154"/>
      <c r="AJ20">
        <f t="shared" si="0"/>
        <v>0</v>
      </c>
    </row>
    <row r="21" spans="1:36" ht="18.75" customHeight="1" x14ac:dyDescent="0.2">
      <c r="A21" s="141" t="s">
        <v>168</v>
      </c>
      <c r="B21" s="139">
        <f>'Jan2025'!B20+1.25- (COUNTIF(E21:AI21, "VL") * 1) - (COUNTIF(E21:AI21, "HDL") * 0.5)</f>
        <v>10.5</v>
      </c>
      <c r="C21" s="140">
        <f>'Jan2025'!C20-COUNTIF(E21:AI21, "SL")-(COUNTIF(E21:AI21, "HDSL") * 0.5)</f>
        <v>2</v>
      </c>
      <c r="D21" s="158">
        <f>'Jan2025'!D20-COUNTIF(E21:AI21, "SPL")</f>
        <v>0</v>
      </c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  <c r="AC21" s="154"/>
      <c r="AD21" s="154"/>
      <c r="AE21" s="154"/>
      <c r="AF21" s="154" t="s">
        <v>173</v>
      </c>
      <c r="AJ21">
        <f t="shared" si="0"/>
        <v>1</v>
      </c>
    </row>
    <row r="22" spans="1:36" ht="18.75" customHeight="1" x14ac:dyDescent="0.2">
      <c r="A22" s="141" t="s">
        <v>156</v>
      </c>
      <c r="B22" s="139">
        <f>'Jan2025'!B21+1.25- (COUNTIF(E22:AI22, "VL") * 1) - (COUNTIF(E22:AI22, "HDL") * 0.5)</f>
        <v>1.75</v>
      </c>
      <c r="C22" s="140">
        <f>'Jan2025'!C21-COUNTIF(E22:AI22, "SL")-(COUNTIF(E22:AI22, "HDSL") * 0.5)</f>
        <v>4</v>
      </c>
      <c r="D22" s="158">
        <f>'Jan2025'!D21-COUNTIF(E22:AI22, "SPL")</f>
        <v>0</v>
      </c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 t="s">
        <v>172</v>
      </c>
      <c r="AC22" s="154"/>
      <c r="AD22" s="154"/>
      <c r="AE22" s="154"/>
      <c r="AF22" s="154"/>
      <c r="AJ22">
        <f t="shared" si="0"/>
        <v>0</v>
      </c>
    </row>
    <row r="23" spans="1:36" ht="18.75" customHeight="1" x14ac:dyDescent="0.2">
      <c r="A23" s="125" t="s">
        <v>183</v>
      </c>
      <c r="B23" s="139">
        <f>'Jan2025'!B22+1.25- (COUNTIF(E23:AI23, "VL") * 1) - (COUNTIF(E23:AI23, "HDL") * 0.5)</f>
        <v>4.5</v>
      </c>
      <c r="C23" s="140">
        <f>'Jan2025'!C22-COUNTIF(E23:AI23, "SL")-(COUNTIF(E23:AI23, "HDSL") * 0.5)</f>
        <v>4</v>
      </c>
      <c r="D23" s="158">
        <f>'Jan2025'!D22-COUNTIF(E23:AI23, "SPL")</f>
        <v>6</v>
      </c>
      <c r="E23" s="154"/>
      <c r="F23" s="154"/>
      <c r="G23" s="154"/>
      <c r="H23" s="154"/>
      <c r="I23" s="154"/>
      <c r="J23" s="154"/>
      <c r="K23" s="154"/>
      <c r="L23" s="154"/>
      <c r="M23" s="154"/>
      <c r="N23" s="154" t="s">
        <v>173</v>
      </c>
      <c r="O23" s="154"/>
      <c r="P23" s="154"/>
      <c r="Q23" s="154"/>
      <c r="R23" s="154" t="s">
        <v>172</v>
      </c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J23">
        <f t="shared" si="0"/>
        <v>1</v>
      </c>
    </row>
    <row r="24" spans="1:36" s="155" customFormat="1" ht="18.75" customHeight="1" x14ac:dyDescent="0.2">
      <c r="A24" s="153" t="s">
        <v>146</v>
      </c>
      <c r="B24" s="139">
        <f>'Jan2025'!B23+1.25- (COUNTIF(E24:AI24, "VL") * 1) - (COUNTIF(E24:AI24, "HDL") * 0.5)</f>
        <v>7.5</v>
      </c>
      <c r="C24" s="140">
        <f>'Jan2025'!C23-COUNTIF(E24:AI24, "SL")-(COUNTIF(E24:AI24, "HDSL") * 0.5)</f>
        <v>3</v>
      </c>
      <c r="D24" s="158">
        <f>'Jan2025'!D23-COUNTIF(E24:AI24, "SPL")</f>
        <v>0</v>
      </c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 t="s">
        <v>173</v>
      </c>
      <c r="V24" s="154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/>
      <c r="AJ24">
        <f t="shared" si="0"/>
        <v>1</v>
      </c>
    </row>
    <row r="25" spans="1:36" ht="18.75" customHeight="1" x14ac:dyDescent="0.2">
      <c r="A25" s="125" t="s">
        <v>184</v>
      </c>
      <c r="B25" s="139">
        <f>'Jan2025'!B24+1.25- (COUNTIF(E25:AI25, "VL") * 1) - (COUNTIF(E25:AI25, "HDL") * 0.5)</f>
        <v>4</v>
      </c>
      <c r="C25" s="140">
        <f>'Jan2025'!C24-COUNTIF(E25:AI25, "SL")-(COUNTIF(E25:AI25, "HDSL") * 0.5)</f>
        <v>3</v>
      </c>
      <c r="D25" s="158">
        <f>'Jan2025'!D24-COUNTIF(E25:AI25, "SPL")</f>
        <v>0</v>
      </c>
      <c r="E25" s="154"/>
      <c r="F25" s="154"/>
      <c r="G25" s="154" t="s">
        <v>172</v>
      </c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 t="s">
        <v>172</v>
      </c>
      <c r="Z25" s="154"/>
      <c r="AA25" s="154"/>
      <c r="AB25" s="154"/>
      <c r="AC25" s="154"/>
      <c r="AD25" s="154"/>
      <c r="AE25" s="154"/>
      <c r="AF25" s="154"/>
      <c r="AJ25">
        <f t="shared" si="0"/>
        <v>0</v>
      </c>
    </row>
    <row r="26" spans="1:36" ht="18.75" customHeight="1" x14ac:dyDescent="0.2">
      <c r="A26" s="141" t="s">
        <v>157</v>
      </c>
      <c r="B26" s="139">
        <f>'Jan2025'!B25+1.25- (COUNTIF(E26:AI26, "VL") * 1) - (COUNTIF(E26:AI26, "HDL") * 0.5)</f>
        <v>5.75</v>
      </c>
      <c r="C26" s="140">
        <f>'Jan2025'!C25-COUNTIF(E26:AI26, "SL")-(COUNTIF(E26:AI26, "HDSL") * 0.5)</f>
        <v>3</v>
      </c>
      <c r="D26" s="158">
        <f>'Jan2025'!D25-COUNTIF(E26:AI26, "SPL")</f>
        <v>0</v>
      </c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 t="s">
        <v>172</v>
      </c>
      <c r="X26" s="154" t="s">
        <v>222</v>
      </c>
      <c r="Y26" s="154"/>
      <c r="Z26" s="154"/>
      <c r="AA26" s="154"/>
      <c r="AB26" s="154" t="s">
        <v>173</v>
      </c>
      <c r="AC26" s="154"/>
      <c r="AD26" s="154"/>
      <c r="AE26" s="154"/>
      <c r="AF26" s="154"/>
      <c r="AJ26">
        <f t="shared" si="0"/>
        <v>1</v>
      </c>
    </row>
    <row r="27" spans="1:36" ht="18.75" customHeight="1" x14ac:dyDescent="0.2">
      <c r="A27" s="141" t="s">
        <v>161</v>
      </c>
      <c r="B27" s="139">
        <f>'Jan2025'!B26+1.25- (COUNTIF(E27:AI27, "VL") * 1) - (COUNTIF(E27:AI27, "HDL") * 0.5)</f>
        <v>2</v>
      </c>
      <c r="C27" s="140">
        <f>'Jan2025'!C26-COUNTIF(E27:AI27, "SL")-(COUNTIF(E27:AI27, "HDSL") * 0.5)</f>
        <v>1</v>
      </c>
      <c r="D27" s="158">
        <f>'Jan2025'!D26-COUNTIF(E27:AI27, "SPL")</f>
        <v>0</v>
      </c>
      <c r="E27" s="154"/>
      <c r="F27" s="154"/>
      <c r="G27" s="154" t="s">
        <v>182</v>
      </c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 t="s">
        <v>173</v>
      </c>
      <c r="X27" s="154"/>
      <c r="Y27" s="154"/>
      <c r="Z27" s="154"/>
      <c r="AA27" s="154"/>
      <c r="AB27" s="154"/>
      <c r="AC27" s="154"/>
      <c r="AD27" s="154"/>
      <c r="AE27" s="154"/>
      <c r="AF27" s="154"/>
      <c r="AJ27">
        <f t="shared" si="0"/>
        <v>1</v>
      </c>
    </row>
    <row r="28" spans="1:36" ht="18.75" customHeight="1" x14ac:dyDescent="0.2">
      <c r="A28" s="153" t="s">
        <v>167</v>
      </c>
      <c r="B28" s="139">
        <f>'Jan2025'!B27+1.25- (COUNTIF(E28:AI28, "VL") * 1) - (COUNTIF(E28:AI28, "HDL") * 0.5)</f>
        <v>8.75</v>
      </c>
      <c r="C28" s="140">
        <f>'Jan2025'!C27-COUNTIF(E28:AI28, "SL")-(COUNTIF(E28:AI28, "HDSL") * 0.5)</f>
        <v>5</v>
      </c>
      <c r="D28" s="158">
        <f>'Jan2025'!D27-COUNTIF(E28:AI28, "SPL")</f>
        <v>0</v>
      </c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4"/>
      <c r="AJ28">
        <f t="shared" si="0"/>
        <v>0</v>
      </c>
    </row>
    <row r="29" spans="1:36" ht="18.75" customHeight="1" x14ac:dyDescent="0.2">
      <c r="A29" s="153" t="s">
        <v>159</v>
      </c>
      <c r="B29" s="139">
        <f>'Jan2025'!B28+1.25- (COUNTIF(E29:AI29, "VL") * 1) - (COUNTIF(E29:AI29, "HDL") * 0.5)</f>
        <v>8.5</v>
      </c>
      <c r="C29" s="140">
        <f>'Jan2025'!C28-COUNTIF(E29:AI29, "SL")-(COUNTIF(E29:AI29, "HDSL") * 0.5)</f>
        <v>5</v>
      </c>
      <c r="D29" s="158">
        <f>'Jan2025'!D28-COUNTIF(E29:AI29, "SPL")</f>
        <v>0</v>
      </c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 t="s">
        <v>172</v>
      </c>
      <c r="U29" s="154" t="s">
        <v>172</v>
      </c>
      <c r="V29" s="154" t="s">
        <v>172</v>
      </c>
      <c r="W29" s="154" t="s">
        <v>172</v>
      </c>
      <c r="X29" s="154" t="s">
        <v>222</v>
      </c>
      <c r="Y29" s="154"/>
      <c r="Z29" s="154"/>
      <c r="AA29" s="154"/>
      <c r="AB29" s="154"/>
      <c r="AC29" s="154"/>
      <c r="AD29" s="154"/>
      <c r="AE29" s="154"/>
      <c r="AF29" s="154"/>
      <c r="AJ29">
        <f t="shared" si="0"/>
        <v>0</v>
      </c>
    </row>
    <row r="30" spans="1:36" ht="18.75" customHeight="1" x14ac:dyDescent="0.2">
      <c r="A30" s="153" t="s">
        <v>223</v>
      </c>
      <c r="B30" s="139">
        <f>1.25*6- (COUNTIF(E30:AI30, "VL") * 1) - (COUNTIF(E30:AI30, "HDL") * 0.5)</f>
        <v>7</v>
      </c>
      <c r="C30" s="140">
        <f>0.416*6-COUNTIF(E30:AI30, "SL")-(COUNTIF(E30:AI30, "HDSL") * 0.5)</f>
        <v>2.496</v>
      </c>
      <c r="D30" s="158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 t="s">
        <v>182</v>
      </c>
      <c r="S30" s="154"/>
      <c r="T30" s="154"/>
      <c r="U30" s="154"/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  <c r="AF30" s="154"/>
      <c r="AJ30">
        <f t="shared" si="0"/>
        <v>0</v>
      </c>
    </row>
    <row r="31" spans="1:36" ht="18.75" customHeight="1" x14ac:dyDescent="0.2">
      <c r="A31" s="153" t="s">
        <v>185</v>
      </c>
      <c r="B31" s="139">
        <f>'Jan2025'!B29+1.25- (COUNTIF(E31:AI31, "VL") * 1) - (COUNTIF(E31:AI31, "HDL") * 0.5)</f>
        <v>8</v>
      </c>
      <c r="C31" s="140">
        <f>'Jan2025'!C29-COUNTIF(E31:AI31, "SL")-(COUNTIF(E31:AI31, "HDSL") * 0.5)</f>
        <v>4</v>
      </c>
      <c r="D31" s="158">
        <f>'Jan2025'!D29-COUNTIF(E31:AI31, "SPL")</f>
        <v>0</v>
      </c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 t="s">
        <v>172</v>
      </c>
      <c r="X31" s="154"/>
      <c r="Y31" s="154"/>
      <c r="Z31" s="154"/>
      <c r="AA31" s="154"/>
      <c r="AB31" s="154"/>
      <c r="AC31" s="154"/>
      <c r="AD31" s="154"/>
      <c r="AE31" s="154"/>
      <c r="AF31" s="154"/>
      <c r="AJ31">
        <f t="shared" si="0"/>
        <v>0</v>
      </c>
    </row>
    <row r="32" spans="1:36" ht="18.75" customHeight="1" x14ac:dyDescent="0.2">
      <c r="A32" s="153" t="s">
        <v>148</v>
      </c>
      <c r="B32" s="139">
        <f>'Jan2025'!B30+1.25- (COUNTIF(E32:AI32, "VL") * 1) - (COUNTIF(E32:AI32, "HDL") * 0.5)</f>
        <v>3</v>
      </c>
      <c r="C32" s="140">
        <f>'Jan2025'!C30-COUNTIF(E32:AI32, "SL")-(COUNTIF(E32:AI32, "HDSL") * 0.5)</f>
        <v>4</v>
      </c>
      <c r="D32" s="158">
        <f>'Jan2025'!D30-COUNTIF(E32:AI32, "SPL")</f>
        <v>0</v>
      </c>
      <c r="E32" s="154"/>
      <c r="F32" s="154"/>
      <c r="G32" s="154" t="s">
        <v>172</v>
      </c>
      <c r="H32" s="154" t="s">
        <v>172</v>
      </c>
      <c r="I32" s="154" t="s">
        <v>172</v>
      </c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J32">
        <f t="shared" si="0"/>
        <v>0</v>
      </c>
    </row>
    <row r="33" spans="1:36" ht="18.75" customHeight="1" x14ac:dyDescent="0.2">
      <c r="A33" s="153" t="s">
        <v>171</v>
      </c>
      <c r="B33" s="139">
        <f>'Jan2025'!B31+1.25- (COUNTIF(E33:AI33, "VL") * 1) - (COUNTIF(E33:AI33, "HDL") * 0.5)</f>
        <v>18.5</v>
      </c>
      <c r="C33" s="140">
        <f>'Jan2025'!C31-COUNTIF(E33:AI33, "SL")-(COUNTIF(E33:AI33, "HDSL") * 0.5)</f>
        <v>5</v>
      </c>
      <c r="D33" s="158">
        <f>'Jan2025'!D31-COUNTIF(E33:AI33, "SPL")</f>
        <v>0</v>
      </c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4" t="s">
        <v>182</v>
      </c>
      <c r="AJ33">
        <f t="shared" si="0"/>
        <v>0</v>
      </c>
    </row>
    <row r="34" spans="1:36" ht="18.75" customHeight="1" x14ac:dyDescent="0.2">
      <c r="A34" s="195" t="s">
        <v>186</v>
      </c>
      <c r="B34" s="139">
        <f>'Jan2025'!B32+1.25- (COUNTIF(E34:AI34, "VL") * 1) - (COUNTIF(E34:AI34, "HDL") * 0.5)</f>
        <v>8</v>
      </c>
      <c r="C34" s="140">
        <f>'Jan2025'!C32-COUNTIF(E34:AI34, "SL")-(COUNTIF(E34:AI34, "HDSL") * 0.5)</f>
        <v>4.5</v>
      </c>
      <c r="D34" s="158">
        <f>'Jan2025'!D32-COUNTIF(E34:AI34, "SPL")</f>
        <v>0</v>
      </c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J34">
        <f t="shared" si="0"/>
        <v>0</v>
      </c>
    </row>
    <row r="35" spans="1:36" s="155" customFormat="1" ht="17.25" customHeight="1" x14ac:dyDescent="0.2">
      <c r="A35" s="153" t="s">
        <v>188</v>
      </c>
      <c r="B35" s="139">
        <f>'Jan2025'!B33+1.25- (COUNTIF(E35:AI35, "VL") * 1) - (COUNTIF(E35:AI35, "HDL") * 0.5)</f>
        <v>3.5</v>
      </c>
      <c r="C35" s="140">
        <f>'Jan2025'!C33-COUNTIF(E35:AI35, "SL")-(COUNTIF(E35:AI35, "HDSL") * 0.5)</f>
        <v>0.5</v>
      </c>
      <c r="D35" s="158">
        <f>'Jan2025'!D33-COUNTIF(E35:AI35, "SPL")</f>
        <v>0</v>
      </c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 t="s">
        <v>173</v>
      </c>
      <c r="P35" s="154" t="s">
        <v>173</v>
      </c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 t="s">
        <v>172</v>
      </c>
      <c r="AE35" s="154"/>
      <c r="AF35" s="154"/>
      <c r="AG35"/>
      <c r="AJ35">
        <f t="shared" si="0"/>
        <v>2</v>
      </c>
    </row>
    <row r="36" spans="1:36" ht="17.25" customHeight="1" x14ac:dyDescent="0.2">
      <c r="A36" s="153" t="s">
        <v>187</v>
      </c>
      <c r="B36" s="139">
        <f>'Jan2025'!B34+1.25- (COUNTIF(E36:AI36, "VL") * 1) - (COUNTIF(E36:AI36, "HDL") * 0.5)</f>
        <v>6</v>
      </c>
      <c r="C36" s="140">
        <f>'Jan2025'!C34-COUNTIF(E36:AI36, "SL")-(COUNTIF(E36:AI36, "HDSL") * 0.5)</f>
        <v>4</v>
      </c>
      <c r="D36" s="158">
        <f>'Jan2025'!D34-COUNTIF(E36:AI36, "SPL")</f>
        <v>0</v>
      </c>
      <c r="E36" s="154"/>
      <c r="F36" s="154"/>
      <c r="G36" s="154"/>
      <c r="H36" s="154"/>
      <c r="I36" s="154"/>
      <c r="J36" s="154"/>
      <c r="K36" s="154"/>
      <c r="L36" s="154"/>
      <c r="M36" s="154"/>
      <c r="N36" s="154" t="s">
        <v>173</v>
      </c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4"/>
      <c r="AJ36">
        <f t="shared" si="0"/>
        <v>1</v>
      </c>
    </row>
    <row r="37" spans="1:36" ht="17.25" customHeight="1" x14ac:dyDescent="0.2">
      <c r="A37" s="153" t="s">
        <v>219</v>
      </c>
      <c r="B37" s="139">
        <f>'Jan2025'!B35+1.25- (COUNTIF(E37:AI37, "VL") * 1) - (COUNTIF(E37:AI37, "HDL") * 0.5)</f>
        <v>10.75</v>
      </c>
      <c r="C37" s="140">
        <f>'Jan2025'!C35-COUNTIF(E37:AI37, "SL")-(COUNTIF(E37:AI37, "HDSL") * 0.5)</f>
        <v>7.4999999999999964</v>
      </c>
      <c r="D37" s="158">
        <f>'Jan2025'!D35-COUNTIF(E37:AI37, "SPL")</f>
        <v>0</v>
      </c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  <c r="AD37" s="165"/>
      <c r="AE37" s="165"/>
      <c r="AF37" s="165"/>
      <c r="AJ37">
        <f t="shared" si="0"/>
        <v>0</v>
      </c>
    </row>
    <row r="38" spans="1:36" ht="17.25" customHeight="1" x14ac:dyDescent="0.2">
      <c r="A38" s="153" t="s">
        <v>154</v>
      </c>
      <c r="B38" s="139">
        <f>'Jan2025'!B36+1.25- (COUNTIF(E38:AI38, "VL") * 1) - (COUNTIF(E38:AI38, "HDL") * 0.5)</f>
        <v>2.5</v>
      </c>
      <c r="C38" s="140">
        <f>'Jan2025'!C36-COUNTIF(E38:AI38, "SL")-(COUNTIF(E38:AI38, "HDSL") * 0.5)</f>
        <v>3</v>
      </c>
      <c r="D38" s="158">
        <f>'Jan2025'!D36-COUNTIF(E38:AI38, "SPL")</f>
        <v>0</v>
      </c>
      <c r="E38" s="165"/>
      <c r="F38" s="165"/>
      <c r="G38" s="165"/>
      <c r="H38" s="165"/>
      <c r="I38" s="165"/>
      <c r="J38" s="165"/>
      <c r="K38" s="165" t="s">
        <v>172</v>
      </c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  <c r="AD38" s="165"/>
      <c r="AE38" s="165"/>
      <c r="AF38" s="165"/>
      <c r="AJ38">
        <f t="shared" si="0"/>
        <v>0</v>
      </c>
    </row>
    <row r="39" spans="1:36" ht="17.25" customHeight="1" x14ac:dyDescent="0.2">
      <c r="A39" s="125" t="s">
        <v>189</v>
      </c>
      <c r="B39" s="139">
        <f>'Jan2025'!B37+1.25- (COUNTIF(E39:AI39, "VL") * 1) - (COUNTIF(E39:AI39, "HDL") * 0.5)</f>
        <v>20.25</v>
      </c>
      <c r="C39" s="140">
        <f>'Jan2025'!C37-COUNTIF(E39:AI39, "SL")-(COUNTIF(E39:AI39, "HDSL") * 0.5)</f>
        <v>3</v>
      </c>
      <c r="D39" s="158">
        <f>'Jan2025'!D37-COUNTIF(E39:AI39, "SPL")</f>
        <v>0</v>
      </c>
      <c r="E39" s="166"/>
      <c r="F39" s="166"/>
      <c r="G39" s="166"/>
      <c r="H39" s="166"/>
      <c r="I39" s="166"/>
      <c r="J39" s="166"/>
      <c r="K39" s="166"/>
      <c r="L39" s="166"/>
      <c r="M39" s="166"/>
      <c r="N39" s="166" t="s">
        <v>173</v>
      </c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J39">
        <f t="shared" si="0"/>
        <v>1</v>
      </c>
    </row>
    <row r="40" spans="1:36" ht="17.25" customHeight="1" x14ac:dyDescent="0.2">
      <c r="A40" s="141" t="s">
        <v>155</v>
      </c>
      <c r="B40" s="139">
        <f>'Jan2025'!B38+1.25- (COUNTIF(E40:AI40, "VL") * 1) - (COUNTIF(E40:AI40, "HDL") * 0.5)</f>
        <v>1.25</v>
      </c>
      <c r="C40" s="140">
        <f>'Jan2025'!C38-COUNTIF(E40:AI40, "SL")-(COUNTIF(E40:AI40, "HDSL") * 0.5)</f>
        <v>4</v>
      </c>
      <c r="D40" s="158">
        <f>'Jan2025'!D38-COUNTIF(E40:AI40, "SPL")</f>
        <v>0</v>
      </c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 t="s">
        <v>172</v>
      </c>
      <c r="U40" s="154" t="s">
        <v>182</v>
      </c>
      <c r="V40" s="154"/>
      <c r="W40" s="154"/>
      <c r="X40" s="154"/>
      <c r="Y40" s="154"/>
      <c r="Z40" s="154"/>
      <c r="AA40" s="154"/>
      <c r="AB40" s="154"/>
      <c r="AC40" s="154"/>
      <c r="AD40" s="154"/>
      <c r="AE40" s="154"/>
      <c r="AF40" s="154"/>
      <c r="AJ40">
        <f t="shared" si="0"/>
        <v>0</v>
      </c>
    </row>
    <row r="41" spans="1:36" ht="17.25" customHeight="1" x14ac:dyDescent="0.2">
      <c r="A41" s="141" t="s">
        <v>224</v>
      </c>
      <c r="B41" s="139">
        <f>1.25*6- (COUNTIF(E41:AI41, "VL") * 1) - (COUNTIF(E41:AI41, "HDL") * 0.5)</f>
        <v>7.5</v>
      </c>
      <c r="C41" s="140">
        <f>0.416*6-COUNTIF(E41:AI41, "SL")-(COUNTIF(E41:AI41, "HDSL") * 0.5)</f>
        <v>2.496</v>
      </c>
      <c r="D41" s="158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  <c r="AC41" s="154"/>
      <c r="AD41" s="154"/>
      <c r="AE41" s="154"/>
      <c r="AF41" s="154"/>
      <c r="AJ41">
        <f t="shared" si="0"/>
        <v>0</v>
      </c>
    </row>
    <row r="42" spans="1:36" ht="17.25" customHeight="1" x14ac:dyDescent="0.2">
      <c r="A42" s="141" t="s">
        <v>166</v>
      </c>
      <c r="B42" s="139">
        <f>'Jan2025'!B40+1.25- (COUNTIF(E42:AI42, "VL") * 1) - (COUNTIF(E42:AI42, "HDL") * 0.5)</f>
        <v>5.75</v>
      </c>
      <c r="C42" s="140">
        <f>'Jan2025'!C40-COUNTIF(E42:AI42, "SL")-(COUNTIF(E42:AI42, "HDSL") * 0.5)</f>
        <v>4</v>
      </c>
      <c r="D42" s="158">
        <f>'Jan2025'!D40-COUNTIF(E42:AI42, "SPL")</f>
        <v>0</v>
      </c>
      <c r="E42" s="154"/>
      <c r="F42" s="154"/>
      <c r="G42" s="154" t="s">
        <v>172</v>
      </c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54"/>
      <c r="AD42" s="154"/>
      <c r="AE42" s="154"/>
      <c r="AF42" s="154"/>
      <c r="AJ42">
        <f t="shared" si="0"/>
        <v>0</v>
      </c>
    </row>
    <row r="43" spans="1:36" x14ac:dyDescent="0.25">
      <c r="A43" s="133"/>
      <c r="AJ43">
        <f t="shared" si="0"/>
        <v>0</v>
      </c>
    </row>
    <row r="44" spans="1:36" x14ac:dyDescent="0.25">
      <c r="A44" s="133"/>
      <c r="AJ44">
        <f t="shared" si="0"/>
        <v>0</v>
      </c>
    </row>
    <row r="45" spans="1:36" x14ac:dyDescent="0.25">
      <c r="A45" s="133"/>
      <c r="AJ45">
        <f t="shared" si="0"/>
        <v>0</v>
      </c>
    </row>
    <row r="46" spans="1:36" x14ac:dyDescent="0.25">
      <c r="A46" s="133"/>
      <c r="AJ46">
        <f t="shared" si="0"/>
        <v>0</v>
      </c>
    </row>
    <row r="47" spans="1:36" x14ac:dyDescent="0.25">
      <c r="A47" s="133"/>
      <c r="AJ47">
        <f t="shared" si="0"/>
        <v>0</v>
      </c>
    </row>
    <row r="48" spans="1:36" x14ac:dyDescent="0.25">
      <c r="A48" s="133"/>
      <c r="AJ48">
        <f t="shared" si="0"/>
        <v>0</v>
      </c>
    </row>
    <row r="49" spans="36:36" x14ac:dyDescent="0.25">
      <c r="AJ49">
        <f t="shared" si="0"/>
        <v>0</v>
      </c>
    </row>
    <row r="50" spans="36:36" x14ac:dyDescent="0.25">
      <c r="AJ50">
        <f t="shared" si="0"/>
        <v>0</v>
      </c>
    </row>
    <row r="51" spans="36:36" x14ac:dyDescent="0.25">
      <c r="AJ51">
        <f t="shared" si="0"/>
        <v>0</v>
      </c>
    </row>
    <row r="52" spans="36:36" x14ac:dyDescent="0.25">
      <c r="AJ52">
        <f t="shared" si="0"/>
        <v>0</v>
      </c>
    </row>
    <row r="53" spans="36:36" x14ac:dyDescent="0.25">
      <c r="AJ53">
        <f t="shared" si="0"/>
        <v>0</v>
      </c>
    </row>
    <row r="54" spans="36:36" x14ac:dyDescent="0.25">
      <c r="AJ54">
        <f t="shared" si="0"/>
        <v>0</v>
      </c>
    </row>
    <row r="55" spans="36:36" x14ac:dyDescent="0.25">
      <c r="AJ55">
        <f t="shared" si="0"/>
        <v>0</v>
      </c>
    </row>
    <row r="56" spans="36:36" x14ac:dyDescent="0.25">
      <c r="AJ56">
        <f t="shared" si="0"/>
        <v>0</v>
      </c>
    </row>
    <row r="57" spans="36:36" x14ac:dyDescent="0.25">
      <c r="AJ57">
        <f t="shared" si="0"/>
        <v>0</v>
      </c>
    </row>
    <row r="58" spans="36:36" x14ac:dyDescent="0.25">
      <c r="AJ58">
        <f t="shared" si="0"/>
        <v>0</v>
      </c>
    </row>
    <row r="59" spans="36:36" x14ac:dyDescent="0.25">
      <c r="AJ59">
        <f t="shared" si="0"/>
        <v>0</v>
      </c>
    </row>
    <row r="60" spans="36:36" x14ac:dyDescent="0.25">
      <c r="AJ60">
        <f t="shared" si="0"/>
        <v>0</v>
      </c>
    </row>
    <row r="61" spans="36:36" x14ac:dyDescent="0.25">
      <c r="AJ61">
        <f t="shared" si="0"/>
        <v>0</v>
      </c>
    </row>
    <row r="62" spans="36:36" x14ac:dyDescent="0.25">
      <c r="AJ62">
        <f t="shared" si="0"/>
        <v>0</v>
      </c>
    </row>
    <row r="63" spans="36:36" x14ac:dyDescent="0.25">
      <c r="AJ63">
        <f t="shared" si="0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B1737-EDA1-4C97-9295-75170A4BEF3C}">
  <dimension ref="A1:AI40"/>
  <sheetViews>
    <sheetView workbookViewId="0">
      <pane ySplit="1" topLeftCell="A22" activePane="bottomLeft" state="frozen"/>
      <selection pane="bottomLeft" activeCell="E50" sqref="E50"/>
    </sheetView>
  </sheetViews>
  <sheetFormatPr defaultRowHeight="15" x14ac:dyDescent="0.25"/>
  <cols>
    <col min="1" max="1" width="48.5" style="133" customWidth="1"/>
    <col min="2" max="3" width="9.1640625" style="129"/>
    <col min="4" max="4" width="8.5" style="129" customWidth="1"/>
    <col min="5" max="34" width="8.5" style="126" customWidth="1"/>
  </cols>
  <sheetData>
    <row r="1" spans="1:34" ht="12.75" x14ac:dyDescent="0.2">
      <c r="A1" s="142" t="s">
        <v>124</v>
      </c>
      <c r="B1" s="136" t="s">
        <v>172</v>
      </c>
      <c r="C1" s="137" t="s">
        <v>173</v>
      </c>
      <c r="D1" s="138" t="s">
        <v>174</v>
      </c>
      <c r="E1" s="135">
        <v>45597</v>
      </c>
      <c r="F1" s="135">
        <v>45598</v>
      </c>
      <c r="G1" s="135">
        <v>45599</v>
      </c>
      <c r="H1" s="135">
        <v>45600</v>
      </c>
      <c r="I1" s="135">
        <v>45601</v>
      </c>
      <c r="J1" s="135">
        <v>45602</v>
      </c>
      <c r="K1" s="135">
        <v>45603</v>
      </c>
      <c r="L1" s="135">
        <v>45604</v>
      </c>
      <c r="M1" s="135">
        <v>45605</v>
      </c>
      <c r="N1" s="135">
        <v>45606</v>
      </c>
      <c r="O1" s="135">
        <v>45607</v>
      </c>
      <c r="P1" s="135">
        <v>45608</v>
      </c>
      <c r="Q1" s="135">
        <v>45609</v>
      </c>
      <c r="R1" s="135">
        <v>45610</v>
      </c>
      <c r="S1" s="135">
        <v>45611</v>
      </c>
      <c r="T1" s="135">
        <v>45612</v>
      </c>
      <c r="U1" s="135">
        <v>45613</v>
      </c>
      <c r="V1" s="135">
        <v>45614</v>
      </c>
      <c r="W1" s="135">
        <v>45615</v>
      </c>
      <c r="X1" s="135">
        <v>45616</v>
      </c>
      <c r="Y1" s="135">
        <v>45617</v>
      </c>
      <c r="Z1" s="135">
        <v>45618</v>
      </c>
      <c r="AA1" s="135">
        <v>45619</v>
      </c>
      <c r="AB1" s="135">
        <v>45620</v>
      </c>
      <c r="AC1" s="135">
        <v>45621</v>
      </c>
      <c r="AD1" s="135">
        <v>45622</v>
      </c>
      <c r="AE1" s="135">
        <v>45623</v>
      </c>
      <c r="AF1" s="135">
        <v>45624</v>
      </c>
      <c r="AG1" s="135">
        <v>45625</v>
      </c>
      <c r="AH1" s="135">
        <v>45626</v>
      </c>
    </row>
    <row r="2" spans="1:34" ht="17.45" hidden="1" customHeight="1" x14ac:dyDescent="0.2">
      <c r="A2" s="141" t="s">
        <v>158</v>
      </c>
      <c r="B2" s="139">
        <f>OCT!B2 + 1.25 - COUNTIF(E2:AH2, "VL")</f>
        <v>9.75</v>
      </c>
      <c r="C2" s="140">
        <f>OCT!C2+ 0.416666666666666 - COUNTIF(E2:AH2, "SL")</f>
        <v>0.91666666666666541</v>
      </c>
      <c r="D2" s="138"/>
      <c r="E2" s="127"/>
      <c r="F2" s="127"/>
      <c r="G2" s="127"/>
      <c r="H2" s="127"/>
      <c r="I2" s="127"/>
      <c r="J2" s="127"/>
      <c r="K2" s="127"/>
      <c r="L2" s="127"/>
      <c r="M2" s="127" t="s">
        <v>172</v>
      </c>
      <c r="N2" s="127"/>
      <c r="O2" s="127"/>
      <c r="P2" s="127" t="s">
        <v>172</v>
      </c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</row>
    <row r="3" spans="1:34" ht="17.45" hidden="1" customHeight="1" x14ac:dyDescent="0.2">
      <c r="A3" s="141" t="s">
        <v>160</v>
      </c>
      <c r="B3" s="139">
        <f>OCT!B3 + 1.25 - COUNTIF(E3:AH3, "VL")</f>
        <v>16.75</v>
      </c>
      <c r="C3" s="140">
        <f>OCT!C3+ 0.416666666666666 - COUNTIF(E3:AH3, "SL")</f>
        <v>0.91666666666666474</v>
      </c>
      <c r="D3" s="138"/>
      <c r="E3" s="127"/>
      <c r="F3" s="127"/>
      <c r="G3" s="127"/>
      <c r="H3" s="127" t="s">
        <v>173</v>
      </c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</row>
    <row r="4" spans="1:34" ht="17.45" hidden="1" customHeight="1" x14ac:dyDescent="0.2">
      <c r="A4" s="141" t="s">
        <v>149</v>
      </c>
      <c r="B4" s="139">
        <f>OCT!B4 + 1.25 - COUNTIF(E4:AH4, "VL")</f>
        <v>20.5</v>
      </c>
      <c r="C4" s="140">
        <f>OCT!C4+ 0.416666666666666 - COUNTIF(E4:AH4, "SL")</f>
        <v>7.8433333333333319</v>
      </c>
      <c r="D4" s="138"/>
      <c r="E4" s="127"/>
      <c r="F4" s="127"/>
      <c r="G4" s="127"/>
      <c r="H4" s="127"/>
      <c r="I4" s="127" t="s">
        <v>173</v>
      </c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</row>
    <row r="5" spans="1:34" ht="17.45" hidden="1" customHeight="1" x14ac:dyDescent="0.2">
      <c r="A5" s="141" t="s">
        <v>142</v>
      </c>
      <c r="B5" s="139">
        <f>OCT!B5 + 1.25 - COUNTIF(E5:AH5, "VL")</f>
        <v>10.25</v>
      </c>
      <c r="C5" s="140">
        <f>OCT!C5+ 0.416666666666666 - COUNTIF(E5:AH5, "SL")</f>
        <v>5.2633333333333336</v>
      </c>
      <c r="D5" s="138"/>
      <c r="E5" s="127" t="s">
        <v>173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7"/>
      <c r="AG5" s="127"/>
      <c r="AH5" s="127"/>
    </row>
    <row r="6" spans="1:34" ht="17.45" hidden="1" customHeight="1" x14ac:dyDescent="0.2">
      <c r="A6" s="141" t="s">
        <v>207</v>
      </c>
      <c r="B6" s="139">
        <f>OCT!B7 + 1.25 - COUNTIF(E6:AH6, "VL")</f>
        <v>11.5</v>
      </c>
      <c r="C6" s="140">
        <f>OCT!C7+ 0.416666666666666 - COUNTIF(E6:AH6, "SL")</f>
        <v>2.1666666666666652</v>
      </c>
      <c r="D6" s="138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7"/>
      <c r="AH6" s="127"/>
    </row>
    <row r="7" spans="1:34" ht="17.45" hidden="1" customHeight="1" x14ac:dyDescent="0.2">
      <c r="A7" s="141" t="s">
        <v>162</v>
      </c>
      <c r="B7" s="139">
        <f>OCT!B9 + 1.25 - COUNTIF(E7:AH7, "VL")</f>
        <v>11.25</v>
      </c>
      <c r="C7" s="140">
        <f>OCT!C9+ 0.416666666666666 - COUNTIF(E7:AH7, "SL")</f>
        <v>4.0833333333333313</v>
      </c>
      <c r="D7" s="13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 t="s">
        <v>172</v>
      </c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</row>
    <row r="8" spans="1:34" ht="17.45" hidden="1" customHeight="1" x14ac:dyDescent="0.2">
      <c r="A8" s="141" t="s">
        <v>151</v>
      </c>
      <c r="B8" s="139">
        <f>OCT!B11 + 1.25 - COUNTIF(E8:AH8, "VL")</f>
        <v>14</v>
      </c>
      <c r="C8" s="140">
        <f>OCT!C11+ 0.416666666666666 - COUNTIF(E8:AH8, "SL")</f>
        <v>-0.15666666666666773</v>
      </c>
      <c r="D8" s="138">
        <f>'2024'!W27-COUNTIF(E8:AI8, "SPL")</f>
        <v>6.1666666666666661</v>
      </c>
      <c r="E8" s="127"/>
      <c r="F8" s="127"/>
      <c r="G8" s="127"/>
      <c r="H8" s="127"/>
      <c r="I8" s="127"/>
      <c r="J8" s="127" t="s">
        <v>173</v>
      </c>
      <c r="K8" s="127"/>
      <c r="L8" s="127" t="s">
        <v>172</v>
      </c>
      <c r="M8" s="127"/>
      <c r="N8" s="127"/>
      <c r="O8" s="127" t="s">
        <v>172</v>
      </c>
      <c r="P8" s="127" t="s">
        <v>172</v>
      </c>
      <c r="Q8" s="127" t="s">
        <v>172</v>
      </c>
      <c r="R8" s="127" t="s">
        <v>172</v>
      </c>
      <c r="S8" s="127" t="s">
        <v>172</v>
      </c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</row>
    <row r="9" spans="1:34" ht="17.45" customHeight="1" x14ac:dyDescent="0.2">
      <c r="A9" s="141" t="s">
        <v>152</v>
      </c>
      <c r="B9" s="139">
        <f>OCT!B12 + 1.25 - COUNTIF(E9:AH9, "VL")</f>
        <v>9.375</v>
      </c>
      <c r="C9" s="140">
        <f>OCT!C12+ 0.416666666666666 - COUNTIF(E9:AH9, "SL")</f>
        <v>8.8433333333333319</v>
      </c>
      <c r="D9" s="138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</row>
    <row r="10" spans="1:34" ht="17.45" customHeight="1" x14ac:dyDescent="0.2">
      <c r="A10" s="141" t="s">
        <v>225</v>
      </c>
      <c r="B10" s="139"/>
      <c r="C10" s="140"/>
      <c r="D10" s="138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 t="s">
        <v>172</v>
      </c>
      <c r="P10" s="127" t="s">
        <v>172</v>
      </c>
      <c r="Q10" s="127" t="s">
        <v>172</v>
      </c>
      <c r="R10" s="127" t="s">
        <v>172</v>
      </c>
      <c r="S10" s="127" t="s">
        <v>172</v>
      </c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</row>
    <row r="11" spans="1:34" ht="17.45" customHeight="1" x14ac:dyDescent="0.2">
      <c r="A11" s="141" t="s">
        <v>170</v>
      </c>
      <c r="B11" s="139">
        <f>OCT!B13 + 1.25 - COUNTIF(E11:AH11, "VL")</f>
        <v>15.75</v>
      </c>
      <c r="C11" s="140">
        <f>OCT!C13+ 0.416666666666666 - COUNTIF(E11:AH11, "SL")</f>
        <v>1.2499999999999984</v>
      </c>
      <c r="D11" s="138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</row>
    <row r="12" spans="1:34" ht="17.45" customHeight="1" x14ac:dyDescent="0.2">
      <c r="A12" s="141" t="s">
        <v>145</v>
      </c>
      <c r="B12" s="139">
        <f>OCT!B14 + 1.25 - COUNTIF(E12:AH12, "VL")</f>
        <v>2.5</v>
      </c>
      <c r="C12" s="140">
        <f>OCT!C14+ 0.416666666666666 - COUNTIF(E12:AH12, "SL")</f>
        <v>0.83333333333333215</v>
      </c>
      <c r="D12" s="138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</row>
    <row r="13" spans="1:34" ht="17.45" customHeight="1" x14ac:dyDescent="0.2">
      <c r="A13" s="141" t="s">
        <v>165</v>
      </c>
      <c r="B13" s="139">
        <f>OCT!B15 + 1.25 - COUNTIF(E13:AH13, "VL")</f>
        <v>18</v>
      </c>
      <c r="C13" s="140">
        <f>OCT!C15+ 0.416666666666666 - COUNTIF(E13:AH13, "SL")</f>
        <v>5.6666666666666661</v>
      </c>
      <c r="D13" s="138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</row>
    <row r="14" spans="1:34" ht="17.45" customHeight="1" x14ac:dyDescent="0.2">
      <c r="A14" s="141" t="s">
        <v>150</v>
      </c>
      <c r="B14" s="139">
        <f>OCT!B16 + 1.25 - COUNTIF(E14:AH14, "VL")</f>
        <v>14</v>
      </c>
      <c r="C14" s="140">
        <f>OCT!C16+ 0.416666666666666 - COUNTIF(E14:AH14, "SL")</f>
        <v>1.8433333333333319</v>
      </c>
      <c r="D14" s="138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</row>
    <row r="15" spans="1:34" ht="17.45" customHeight="1" x14ac:dyDescent="0.2">
      <c r="A15" s="141" t="s">
        <v>147</v>
      </c>
      <c r="B15" s="139">
        <f>OCT!B17 + 1.25 - COUNTIF(E15:AH15, "VL")</f>
        <v>22.25</v>
      </c>
      <c r="C15" s="140">
        <f>OCT!C17+ 0.416666666666666 - COUNTIF(E15:AH15, "SL")</f>
        <v>9.2633333333333336</v>
      </c>
      <c r="D15" s="138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</row>
    <row r="16" spans="1:34" ht="17.45" customHeight="1" x14ac:dyDescent="0.2">
      <c r="A16" s="141" t="s">
        <v>168</v>
      </c>
      <c r="B16" s="139">
        <f>OCT!B18 + 1.25 - COUNTIF(E16:AH16, "VL")</f>
        <v>13.75</v>
      </c>
      <c r="C16" s="140">
        <f>OCT!C18+ 0.416666666666666 - COUNTIF(E16:AH16, "SL")</f>
        <v>2.2499999999999982</v>
      </c>
      <c r="D16" s="138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 t="s">
        <v>172</v>
      </c>
      <c r="S16" s="127" t="s">
        <v>172</v>
      </c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 t="s">
        <v>172</v>
      </c>
      <c r="AH16" s="127"/>
    </row>
    <row r="17" spans="1:34" ht="17.45" customHeight="1" x14ac:dyDescent="0.2">
      <c r="A17" s="141" t="s">
        <v>156</v>
      </c>
      <c r="B17" s="139">
        <f>OCT!B19 + 1.25 - COUNTIF(E17:AH17, "VL")</f>
        <v>5</v>
      </c>
      <c r="C17" s="140">
        <f>OCT!C19+ 0.416666666666666 - COUNTIF(E17:AH17, "SL")</f>
        <v>0.33333333333333126</v>
      </c>
      <c r="D17" s="138"/>
      <c r="E17" s="127"/>
      <c r="F17" s="127"/>
      <c r="G17" s="127"/>
      <c r="H17" s="127"/>
      <c r="I17" s="127"/>
      <c r="J17" s="127" t="s">
        <v>173</v>
      </c>
      <c r="K17" s="127"/>
      <c r="L17" s="127" t="s">
        <v>173</v>
      </c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</row>
    <row r="18" spans="1:34" ht="17.45" customHeight="1" x14ac:dyDescent="0.2">
      <c r="A18" s="141" t="s">
        <v>146</v>
      </c>
      <c r="B18" s="139">
        <f>OCT!B20 + 1.25 - COUNTIF(E18:AH18, "VL")</f>
        <v>15.75</v>
      </c>
      <c r="C18" s="140">
        <f>OCT!C20+ 0.416666666666666 - COUNTIF(E18:AH18, "SL")</f>
        <v>1.2633333333333328</v>
      </c>
      <c r="D18" s="138"/>
      <c r="E18" s="127"/>
      <c r="F18" s="127"/>
      <c r="G18" s="127"/>
      <c r="H18" s="127"/>
      <c r="I18" s="127" t="s">
        <v>172</v>
      </c>
      <c r="J18" s="127"/>
      <c r="K18" s="127"/>
      <c r="L18" s="127"/>
      <c r="M18" s="127"/>
      <c r="N18" s="127"/>
      <c r="O18" s="127"/>
      <c r="P18" s="127"/>
      <c r="Q18" s="127" t="s">
        <v>172</v>
      </c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</row>
    <row r="19" spans="1:34" ht="17.45" customHeight="1" x14ac:dyDescent="0.2">
      <c r="A19" s="141" t="s">
        <v>157</v>
      </c>
      <c r="B19" s="139">
        <f>OCT!B21 + 1.25 - COUNTIF(E19:AH19, "VL")</f>
        <v>8</v>
      </c>
      <c r="C19" s="140">
        <f>OCT!C21+ 0.416666666666666 - COUNTIF(E19:AH19, "SL")</f>
        <v>1.3333333333333315</v>
      </c>
      <c r="D19" s="138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</row>
    <row r="20" spans="1:34" ht="17.45" customHeight="1" x14ac:dyDescent="0.2">
      <c r="A20" s="141" t="s">
        <v>161</v>
      </c>
      <c r="B20" s="139">
        <f>OCT!B22 + 1.25 - COUNTIF(E20:AH20, "VL")</f>
        <v>1.25</v>
      </c>
      <c r="C20" s="140">
        <f>OCT!C22+ 0.416666666666666 - COUNTIF(E20:AH20, "SL")</f>
        <v>8.3333333333331261E-2</v>
      </c>
      <c r="D20" s="138"/>
      <c r="E20" s="127"/>
      <c r="F20" s="127"/>
      <c r="G20" s="127"/>
      <c r="H20" s="127"/>
      <c r="I20" s="127"/>
      <c r="J20" s="127"/>
      <c r="K20" s="127"/>
      <c r="L20" s="127" t="s">
        <v>172</v>
      </c>
      <c r="M20" s="127"/>
      <c r="N20" s="127"/>
      <c r="O20" s="127" t="s">
        <v>173</v>
      </c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</row>
    <row r="21" spans="1:34" ht="17.45" customHeight="1" x14ac:dyDescent="0.2">
      <c r="A21" s="141" t="s">
        <v>167</v>
      </c>
      <c r="B21" s="139">
        <f>OCT!B23 + 1.25 - COUNTIF(E21:AH21, "VL")</f>
        <v>11</v>
      </c>
      <c r="C21" s="140">
        <f>OCT!C23+ 0.416666666666666 - COUNTIF(E21:AH21, "SL")</f>
        <v>3.6666666666666661</v>
      </c>
      <c r="D21" s="138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 t="s">
        <v>173</v>
      </c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</row>
    <row r="22" spans="1:34" ht="17.45" customHeight="1" x14ac:dyDescent="0.2">
      <c r="A22" s="141" t="s">
        <v>159</v>
      </c>
      <c r="B22" s="139">
        <f>OCT!B24 + 1.25 - COUNTIF(E22:AH22, "VL")</f>
        <v>14.75</v>
      </c>
      <c r="C22" s="140">
        <f>OCT!C24+ 0.416666666666666 - COUNTIF(E22:AH22, "SL")</f>
        <v>1.9166666666666647</v>
      </c>
      <c r="D22" s="138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7"/>
      <c r="AH22" s="127"/>
    </row>
    <row r="23" spans="1:34" ht="17.45" customHeight="1" x14ac:dyDescent="0.2">
      <c r="A23" s="141" t="s">
        <v>163</v>
      </c>
      <c r="B23" s="139">
        <f>OCT!B25 + 1.25 - COUNTIF(E23:AH23, "VL")</f>
        <v>10.25</v>
      </c>
      <c r="C23" s="140">
        <f>OCT!C25+ 0.416666666666666 - COUNTIF(E23:AH23, "SL")</f>
        <v>4.0833333333333313</v>
      </c>
      <c r="D23" s="138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</row>
    <row r="24" spans="1:34" ht="17.45" customHeight="1" x14ac:dyDescent="0.2">
      <c r="A24" s="141" t="s">
        <v>148</v>
      </c>
      <c r="B24" s="139">
        <f>OCT!B26 + 1.25 - COUNTIF(E24:AH24, "VL")</f>
        <v>11.25</v>
      </c>
      <c r="C24" s="140">
        <f>OCT!C26+ 0.416666666666666 - COUNTIF(E24:AH24, "SL")</f>
        <v>1.263333333333331</v>
      </c>
      <c r="D24" s="138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 t="s">
        <v>172</v>
      </c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</row>
    <row r="25" spans="1:34" ht="17.45" customHeight="1" x14ac:dyDescent="0.2">
      <c r="A25" s="141" t="s">
        <v>171</v>
      </c>
      <c r="B25" s="139">
        <f>OCT!B27 + 1.25 - COUNTIF(E25:AH25, "VL")</f>
        <v>15.25</v>
      </c>
      <c r="C25" s="140">
        <f>OCT!C27+ 0.416666666666666 - COUNTIF(E25:AH25, "SL")</f>
        <v>5.4166666666666652</v>
      </c>
      <c r="D25" s="138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</row>
    <row r="26" spans="1:34" ht="17.45" customHeight="1" x14ac:dyDescent="0.2">
      <c r="A26" s="141" t="s">
        <v>154</v>
      </c>
      <c r="B26" s="139">
        <f>OCT!B30+1.25 - COUNTIF(E26:AI26, "VL")</f>
        <v>8</v>
      </c>
      <c r="C26" s="140">
        <f>OCT!C30+0.416666666666666- COUNTIF(E26:AI26, "SL")</f>
        <v>4.333333333333333</v>
      </c>
      <c r="D26" s="138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</row>
    <row r="27" spans="1:34" ht="17.45" customHeight="1" x14ac:dyDescent="0.2">
      <c r="A27" s="141" t="s">
        <v>153</v>
      </c>
      <c r="B27" s="139">
        <f>OCT!B31 + 1.25 - COUNTIF(E27:AH27, "VL")</f>
        <v>19.5</v>
      </c>
      <c r="C27" s="140">
        <f>OCT!C31+ 0.416666666666666 - COUNTIF(E27:AH27, "SL")</f>
        <v>6.1666666666666679</v>
      </c>
      <c r="D27" s="138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</row>
    <row r="28" spans="1:34" ht="17.45" customHeight="1" x14ac:dyDescent="0.2">
      <c r="A28" s="141" t="s">
        <v>155</v>
      </c>
      <c r="B28" s="139">
        <f>OCT!B32 + 1.25 - COUNTIF(E28:AH28, "VL")</f>
        <v>2.5</v>
      </c>
      <c r="C28" s="140">
        <f>OCT!C32+ 0.416666666666666 - COUNTIF(E28:AH28, "SL")</f>
        <v>2.833333333333333</v>
      </c>
      <c r="D28" s="138"/>
      <c r="E28" s="127" t="s">
        <v>172</v>
      </c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</row>
    <row r="29" spans="1:34" ht="17.45" customHeight="1" x14ac:dyDescent="0.2">
      <c r="A29" s="141" t="s">
        <v>166</v>
      </c>
      <c r="B29" s="139">
        <f>OCT!B33 + 1.25 - COUNTIF(E29:AH29, "VL")</f>
        <v>18</v>
      </c>
      <c r="C29" s="140">
        <f>OCT!C33+ 0.416666666666666 - COUNTIF(E29:AH29, "SL")</f>
        <v>1.666666666666665</v>
      </c>
      <c r="D29" s="138"/>
      <c r="E29" s="127"/>
      <c r="F29" s="127"/>
      <c r="G29" s="127"/>
      <c r="H29" s="127"/>
      <c r="I29" s="127"/>
      <c r="J29" s="127" t="s">
        <v>172</v>
      </c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 t="s">
        <v>172</v>
      </c>
      <c r="AH29" s="127"/>
    </row>
    <row r="30" spans="1:34" x14ac:dyDescent="0.2">
      <c r="A30" s="131"/>
    </row>
    <row r="31" spans="1:34" x14ac:dyDescent="0.2">
      <c r="A31" s="132"/>
      <c r="B31" s="130"/>
      <c r="C31" s="130"/>
      <c r="D31" s="130"/>
    </row>
    <row r="32" spans="1:34" ht="12.75" x14ac:dyDescent="0.2">
      <c r="A32" s="141" t="s">
        <v>209</v>
      </c>
      <c r="B32" s="139">
        <f>1.25*6</f>
        <v>7.5</v>
      </c>
      <c r="C32" s="140">
        <f>0.416666666666666*6</f>
        <v>2.499999999999996</v>
      </c>
      <c r="D32" s="138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</row>
    <row r="33" spans="1:35" ht="12.75" x14ac:dyDescent="0.2">
      <c r="A33" s="141" t="s">
        <v>226</v>
      </c>
      <c r="B33" s="139">
        <f t="shared" ref="B33:B40" si="0">1.25*6</f>
        <v>7.5</v>
      </c>
      <c r="C33" s="140">
        <f t="shared" ref="C33:C40" si="1">0.416666666666666*6</f>
        <v>2.499999999999996</v>
      </c>
      <c r="D33" s="138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 t="s">
        <v>172</v>
      </c>
      <c r="AD33" s="127" t="s">
        <v>172</v>
      </c>
      <c r="AE33" s="127" t="s">
        <v>172</v>
      </c>
      <c r="AF33" s="127" t="s">
        <v>172</v>
      </c>
      <c r="AG33" s="127" t="s">
        <v>172</v>
      </c>
      <c r="AH33" s="127"/>
    </row>
    <row r="34" spans="1:35" ht="12.75" x14ac:dyDescent="0.2">
      <c r="A34" s="141" t="s">
        <v>211</v>
      </c>
      <c r="B34" s="139">
        <f t="shared" si="0"/>
        <v>7.5</v>
      </c>
      <c r="C34" s="140">
        <f t="shared" si="1"/>
        <v>2.499999999999996</v>
      </c>
      <c r="D34" s="138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</row>
    <row r="35" spans="1:35" ht="12.75" x14ac:dyDescent="0.2">
      <c r="A35" s="141" t="s">
        <v>212</v>
      </c>
      <c r="B35" s="139">
        <f t="shared" si="0"/>
        <v>7.5</v>
      </c>
      <c r="C35" s="140">
        <f t="shared" si="1"/>
        <v>2.499999999999996</v>
      </c>
      <c r="D35" s="138">
        <v>7</v>
      </c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 t="s">
        <v>174</v>
      </c>
      <c r="Q35" s="127"/>
      <c r="R35" s="127"/>
      <c r="S35" s="127"/>
      <c r="T35" s="127"/>
      <c r="U35" s="127"/>
      <c r="V35" s="127"/>
      <c r="W35" s="127"/>
      <c r="X35" s="127"/>
      <c r="Y35" s="127" t="s">
        <v>172</v>
      </c>
      <c r="Z35" s="127" t="s">
        <v>172</v>
      </c>
      <c r="AA35" s="127"/>
      <c r="AB35" s="127"/>
      <c r="AC35" s="127"/>
      <c r="AD35" s="127"/>
      <c r="AE35" s="127"/>
      <c r="AF35" s="127"/>
      <c r="AG35" s="127"/>
      <c r="AH35" s="127"/>
    </row>
    <row r="36" spans="1:35" ht="12.75" x14ac:dyDescent="0.2">
      <c r="A36" s="141" t="s">
        <v>213</v>
      </c>
      <c r="B36" s="139">
        <f t="shared" si="0"/>
        <v>7.5</v>
      </c>
      <c r="C36" s="140">
        <f t="shared" si="1"/>
        <v>2.499999999999996</v>
      </c>
      <c r="D36" s="138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</row>
    <row r="37" spans="1:35" ht="12.75" x14ac:dyDescent="0.2">
      <c r="A37" s="141" t="s">
        <v>214</v>
      </c>
      <c r="B37" s="139">
        <f t="shared" si="0"/>
        <v>7.5</v>
      </c>
      <c r="C37" s="140">
        <f t="shared" si="1"/>
        <v>2.499999999999996</v>
      </c>
      <c r="D37" s="138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</row>
    <row r="38" spans="1:35" ht="12.75" x14ac:dyDescent="0.2">
      <c r="A38" s="141" t="s">
        <v>215</v>
      </c>
      <c r="B38" s="139">
        <f t="shared" si="0"/>
        <v>7.5</v>
      </c>
      <c r="C38" s="140">
        <f t="shared" si="1"/>
        <v>2.499999999999996</v>
      </c>
      <c r="D38" s="138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</row>
    <row r="39" spans="1:35" ht="12.75" x14ac:dyDescent="0.2">
      <c r="A39" s="141" t="s">
        <v>216</v>
      </c>
      <c r="B39" s="139">
        <f t="shared" si="0"/>
        <v>7.5</v>
      </c>
      <c r="C39" s="140">
        <f t="shared" si="1"/>
        <v>2.499999999999996</v>
      </c>
      <c r="D39" s="138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</row>
    <row r="40" spans="1:35" ht="12.75" x14ac:dyDescent="0.2">
      <c r="A40" s="141" t="s">
        <v>177</v>
      </c>
      <c r="B40" s="139">
        <f t="shared" si="0"/>
        <v>7.5</v>
      </c>
      <c r="C40" s="140">
        <f t="shared" si="1"/>
        <v>2.499999999999996</v>
      </c>
      <c r="D40" s="138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49"/>
  <sheetViews>
    <sheetView showGridLines="0" zoomScale="115" zoomScaleNormal="115" workbookViewId="0">
      <pane xSplit="4" ySplit="4" topLeftCell="E5" activePane="bottomRight" state="frozen"/>
      <selection pane="topRight" activeCell="A5" sqref="A5:A13"/>
      <selection pane="bottomLeft" activeCell="A5" sqref="A5:A13"/>
      <selection pane="bottomRight" activeCell="G17" sqref="G17"/>
    </sheetView>
  </sheetViews>
  <sheetFormatPr defaultColWidth="9.33203125" defaultRowHeight="12.75" x14ac:dyDescent="0.2"/>
  <cols>
    <col min="1" max="1" width="19.5" style="2" bestFit="1" customWidth="1"/>
    <col min="2" max="2" width="15" style="2" bestFit="1" customWidth="1"/>
    <col min="3" max="3" width="16.5" style="2" bestFit="1" customWidth="1"/>
    <col min="4" max="4" width="19.83203125" style="2" bestFit="1" customWidth="1"/>
    <col min="5" max="16384" width="9.33203125" style="2"/>
  </cols>
  <sheetData>
    <row r="1" spans="1:4" x14ac:dyDescent="0.2">
      <c r="A1" s="1" t="s">
        <v>227</v>
      </c>
    </row>
    <row r="2" spans="1:4" x14ac:dyDescent="0.2">
      <c r="A2" s="1" t="s">
        <v>228</v>
      </c>
    </row>
    <row r="4" spans="1:4" ht="12" customHeight="1" x14ac:dyDescent="0.2">
      <c r="A4" s="38" t="s">
        <v>229</v>
      </c>
      <c r="B4" s="3" t="s">
        <v>2</v>
      </c>
      <c r="C4" s="3" t="s">
        <v>3</v>
      </c>
      <c r="D4" s="3" t="s">
        <v>4</v>
      </c>
    </row>
    <row r="5" spans="1:4" ht="13.5" x14ac:dyDescent="0.2">
      <c r="A5" s="36" t="s">
        <v>230</v>
      </c>
      <c r="B5" s="30" t="s">
        <v>231</v>
      </c>
      <c r="C5" s="5" t="s">
        <v>232</v>
      </c>
      <c r="D5" s="5" t="s">
        <v>233</v>
      </c>
    </row>
    <row r="6" spans="1:4" ht="13.5" x14ac:dyDescent="0.2">
      <c r="A6" s="36" t="s">
        <v>230</v>
      </c>
      <c r="B6" s="30" t="s">
        <v>234</v>
      </c>
      <c r="C6" s="5" t="s">
        <v>235</v>
      </c>
      <c r="D6" s="5" t="s">
        <v>236</v>
      </c>
    </row>
    <row r="7" spans="1:4" ht="13.5" x14ac:dyDescent="0.2">
      <c r="A7" s="36" t="s">
        <v>230</v>
      </c>
      <c r="B7" s="30" t="s">
        <v>237</v>
      </c>
      <c r="C7" s="5" t="s">
        <v>238</v>
      </c>
      <c r="D7" s="5" t="s">
        <v>239</v>
      </c>
    </row>
    <row r="8" spans="1:4" ht="13.5" x14ac:dyDescent="0.2">
      <c r="A8" s="36" t="s">
        <v>230</v>
      </c>
      <c r="B8" s="30" t="s">
        <v>240</v>
      </c>
      <c r="C8" s="5" t="s">
        <v>241</v>
      </c>
      <c r="D8" s="5" t="s">
        <v>242</v>
      </c>
    </row>
    <row r="9" spans="1:4" ht="13.5" x14ac:dyDescent="0.2">
      <c r="A9" s="36" t="s">
        <v>230</v>
      </c>
      <c r="B9" s="30" t="s">
        <v>243</v>
      </c>
      <c r="C9" s="5" t="s">
        <v>244</v>
      </c>
      <c r="D9" s="5" t="s">
        <v>245</v>
      </c>
    </row>
    <row r="10" spans="1:4" ht="13.5" x14ac:dyDescent="0.2">
      <c r="A10" s="37" t="s">
        <v>230</v>
      </c>
      <c r="B10" s="30" t="s">
        <v>246</v>
      </c>
      <c r="C10" s="5" t="s">
        <v>247</v>
      </c>
      <c r="D10" s="5" t="s">
        <v>248</v>
      </c>
    </row>
    <row r="11" spans="1:4" ht="13.5" x14ac:dyDescent="0.2">
      <c r="A11" s="36" t="s">
        <v>230</v>
      </c>
      <c r="B11" s="30" t="s">
        <v>249</v>
      </c>
      <c r="C11" s="5" t="s">
        <v>250</v>
      </c>
      <c r="D11" s="5" t="s">
        <v>251</v>
      </c>
    </row>
    <row r="12" spans="1:4" ht="13.5" x14ac:dyDescent="0.2">
      <c r="A12" s="36" t="s">
        <v>230</v>
      </c>
      <c r="B12" s="30" t="s">
        <v>252</v>
      </c>
      <c r="C12" s="5" t="s">
        <v>253</v>
      </c>
      <c r="D12" s="5" t="s">
        <v>254</v>
      </c>
    </row>
    <row r="13" spans="1:4" ht="13.5" x14ac:dyDescent="0.2">
      <c r="A13" s="36" t="s">
        <v>230</v>
      </c>
      <c r="B13" s="30" t="s">
        <v>252</v>
      </c>
      <c r="C13" s="5" t="s">
        <v>255</v>
      </c>
      <c r="D13" s="5" t="s">
        <v>256</v>
      </c>
    </row>
    <row r="14" spans="1:4" ht="13.5" x14ac:dyDescent="0.2">
      <c r="A14" s="36" t="s">
        <v>230</v>
      </c>
      <c r="B14" s="30" t="s">
        <v>257</v>
      </c>
      <c r="C14" s="5" t="s">
        <v>258</v>
      </c>
      <c r="D14" s="5" t="s">
        <v>259</v>
      </c>
    </row>
    <row r="15" spans="1:4" ht="13.5" x14ac:dyDescent="0.2">
      <c r="A15" s="36" t="s">
        <v>230</v>
      </c>
      <c r="B15" s="30" t="s">
        <v>260</v>
      </c>
      <c r="C15" s="5" t="s">
        <v>261</v>
      </c>
      <c r="D15" s="5" t="s">
        <v>262</v>
      </c>
    </row>
    <row r="16" spans="1:4" ht="13.5" x14ac:dyDescent="0.2">
      <c r="A16" s="36" t="s">
        <v>230</v>
      </c>
      <c r="B16" s="30" t="s">
        <v>263</v>
      </c>
      <c r="C16" s="5" t="s">
        <v>264</v>
      </c>
      <c r="D16" s="5" t="s">
        <v>265</v>
      </c>
    </row>
    <row r="17" spans="1:4" ht="13.5" x14ac:dyDescent="0.2">
      <c r="A17" s="36" t="s">
        <v>230</v>
      </c>
      <c r="B17" s="30" t="s">
        <v>266</v>
      </c>
      <c r="C17" s="5" t="s">
        <v>267</v>
      </c>
      <c r="D17" s="5" t="s">
        <v>268</v>
      </c>
    </row>
    <row r="18" spans="1:4" ht="13.5" x14ac:dyDescent="0.2">
      <c r="A18" s="36" t="s">
        <v>230</v>
      </c>
      <c r="B18" s="30" t="s">
        <v>265</v>
      </c>
      <c r="C18" s="5" t="s">
        <v>269</v>
      </c>
      <c r="D18" s="5" t="s">
        <v>270</v>
      </c>
    </row>
    <row r="19" spans="1:4" ht="13.5" x14ac:dyDescent="0.2">
      <c r="A19" s="36" t="s">
        <v>230</v>
      </c>
      <c r="B19" s="30" t="s">
        <v>271</v>
      </c>
      <c r="C19" s="5" t="s">
        <v>272</v>
      </c>
      <c r="D19" s="5" t="s">
        <v>273</v>
      </c>
    </row>
    <row r="20" spans="1:4" ht="13.5" x14ac:dyDescent="0.2">
      <c r="A20" s="36" t="s">
        <v>230</v>
      </c>
      <c r="B20" s="30" t="s">
        <v>274</v>
      </c>
      <c r="C20" s="5" t="s">
        <v>275</v>
      </c>
      <c r="D20" s="5" t="s">
        <v>257</v>
      </c>
    </row>
    <row r="21" spans="1:4" ht="13.5" x14ac:dyDescent="0.2">
      <c r="A21" s="36" t="s">
        <v>230</v>
      </c>
      <c r="B21" s="30" t="s">
        <v>15</v>
      </c>
      <c r="C21" s="5" t="s">
        <v>16</v>
      </c>
      <c r="D21" s="5" t="s">
        <v>17</v>
      </c>
    </row>
    <row r="22" spans="1:4" ht="13.5" x14ac:dyDescent="0.2">
      <c r="A22" s="36" t="s">
        <v>230</v>
      </c>
      <c r="B22" s="30" t="s">
        <v>20</v>
      </c>
      <c r="C22" s="5" t="s">
        <v>21</v>
      </c>
      <c r="D22" s="5" t="s">
        <v>22</v>
      </c>
    </row>
    <row r="23" spans="1:4" ht="13.5" x14ac:dyDescent="0.2">
      <c r="A23" s="36" t="s">
        <v>230</v>
      </c>
      <c r="B23" s="30" t="s">
        <v>24</v>
      </c>
      <c r="C23" s="5" t="s">
        <v>25</v>
      </c>
      <c r="D23" s="5" t="s">
        <v>26</v>
      </c>
    </row>
    <row r="24" spans="1:4" ht="13.5" x14ac:dyDescent="0.2">
      <c r="A24" s="36" t="s">
        <v>230</v>
      </c>
      <c r="B24" s="30" t="s">
        <v>28</v>
      </c>
      <c r="C24" s="5" t="s">
        <v>29</v>
      </c>
      <c r="D24" s="5" t="s">
        <v>30</v>
      </c>
    </row>
    <row r="25" spans="1:4" ht="13.5" x14ac:dyDescent="0.2">
      <c r="A25" s="36" t="s">
        <v>230</v>
      </c>
      <c r="B25" s="30" t="s">
        <v>47</v>
      </c>
      <c r="C25" s="5" t="s">
        <v>48</v>
      </c>
      <c r="D25" s="5" t="s">
        <v>49</v>
      </c>
    </row>
    <row r="26" spans="1:4" ht="13.5" x14ac:dyDescent="0.2">
      <c r="A26" s="36" t="s">
        <v>230</v>
      </c>
      <c r="B26" s="30" t="s">
        <v>32</v>
      </c>
      <c r="C26" s="5" t="s">
        <v>33</v>
      </c>
      <c r="D26" s="5" t="s">
        <v>34</v>
      </c>
    </row>
    <row r="27" spans="1:4" ht="13.5" x14ac:dyDescent="0.2">
      <c r="A27" s="36" t="s">
        <v>230</v>
      </c>
      <c r="B27" s="30" t="s">
        <v>36</v>
      </c>
      <c r="C27" s="5" t="s">
        <v>37</v>
      </c>
      <c r="D27" s="5" t="s">
        <v>38</v>
      </c>
    </row>
    <row r="28" spans="1:4" ht="13.5" x14ac:dyDescent="0.2">
      <c r="A28" s="36" t="s">
        <v>230</v>
      </c>
      <c r="B28" s="30" t="s">
        <v>40</v>
      </c>
      <c r="C28" s="5" t="s">
        <v>41</v>
      </c>
      <c r="D28" s="5" t="s">
        <v>42</v>
      </c>
    </row>
    <row r="29" spans="1:4" ht="13.5" x14ac:dyDescent="0.2">
      <c r="A29" s="36" t="s">
        <v>230</v>
      </c>
      <c r="B29" s="30" t="s">
        <v>44</v>
      </c>
      <c r="C29" s="5" t="s">
        <v>45</v>
      </c>
      <c r="D29" s="5" t="s">
        <v>17</v>
      </c>
    </row>
    <row r="30" spans="1:4" ht="13.5" x14ac:dyDescent="0.2">
      <c r="A30" s="36" t="s">
        <v>230</v>
      </c>
      <c r="B30" s="30" t="s">
        <v>276</v>
      </c>
      <c r="C30" s="5" t="s">
        <v>277</v>
      </c>
      <c r="D30" s="5" t="s">
        <v>278</v>
      </c>
    </row>
    <row r="31" spans="1:4" ht="13.5" x14ac:dyDescent="0.2">
      <c r="A31" s="36" t="s">
        <v>230</v>
      </c>
      <c r="B31" s="5" t="s">
        <v>257</v>
      </c>
      <c r="C31" s="5" t="s">
        <v>279</v>
      </c>
      <c r="D31" s="5" t="s">
        <v>44</v>
      </c>
    </row>
    <row r="32" spans="1:4" ht="13.5" x14ac:dyDescent="0.2">
      <c r="A32" s="36" t="s">
        <v>230</v>
      </c>
      <c r="B32" s="5" t="s">
        <v>280</v>
      </c>
      <c r="C32" s="5" t="s">
        <v>281</v>
      </c>
      <c r="D32" s="5" t="s">
        <v>282</v>
      </c>
    </row>
    <row r="33" spans="1:4" ht="13.5" x14ac:dyDescent="0.2">
      <c r="A33" s="36" t="s">
        <v>230</v>
      </c>
      <c r="B33" s="5" t="s">
        <v>283</v>
      </c>
      <c r="C33" s="5" t="s">
        <v>284</v>
      </c>
      <c r="D33" s="5" t="s">
        <v>285</v>
      </c>
    </row>
    <row r="34" spans="1:4" ht="13.5" x14ac:dyDescent="0.2">
      <c r="A34" s="36" t="s">
        <v>230</v>
      </c>
      <c r="B34" s="5" t="s">
        <v>286</v>
      </c>
      <c r="C34" s="5" t="s">
        <v>287</v>
      </c>
      <c r="D34" s="5" t="s">
        <v>288</v>
      </c>
    </row>
    <row r="35" spans="1:4" ht="13.5" x14ac:dyDescent="0.2">
      <c r="A35" s="36" t="s">
        <v>230</v>
      </c>
      <c r="B35" s="5" t="s">
        <v>17</v>
      </c>
      <c r="C35" s="5" t="s">
        <v>289</v>
      </c>
      <c r="D35" s="5" t="s">
        <v>290</v>
      </c>
    </row>
    <row r="36" spans="1:4" ht="13.5" x14ac:dyDescent="0.2">
      <c r="A36" s="36" t="s">
        <v>230</v>
      </c>
      <c r="B36" s="5" t="s">
        <v>291</v>
      </c>
      <c r="C36" s="5" t="s">
        <v>292</v>
      </c>
      <c r="D36" s="5" t="s">
        <v>293</v>
      </c>
    </row>
    <row r="37" spans="1:4" ht="13.5" x14ac:dyDescent="0.2">
      <c r="A37" s="36" t="s">
        <v>230</v>
      </c>
      <c r="B37" s="5" t="s">
        <v>268</v>
      </c>
      <c r="C37" s="5" t="s">
        <v>294</v>
      </c>
      <c r="D37" s="5" t="s">
        <v>295</v>
      </c>
    </row>
    <row r="38" spans="1:4" ht="13.5" x14ac:dyDescent="0.2">
      <c r="A38" s="36" t="s">
        <v>230</v>
      </c>
      <c r="B38" s="5" t="s">
        <v>296</v>
      </c>
      <c r="C38" s="5" t="s">
        <v>297</v>
      </c>
      <c r="D38" s="5" t="s">
        <v>84</v>
      </c>
    </row>
    <row r="39" spans="1:4" ht="13.5" x14ac:dyDescent="0.2">
      <c r="A39" s="36" t="s">
        <v>230</v>
      </c>
      <c r="B39" s="5" t="s">
        <v>298</v>
      </c>
      <c r="C39" s="5" t="s">
        <v>299</v>
      </c>
      <c r="D39" s="5" t="s">
        <v>300</v>
      </c>
    </row>
    <row r="40" spans="1:4" ht="13.5" x14ac:dyDescent="0.2">
      <c r="A40" s="36" t="s">
        <v>230</v>
      </c>
      <c r="B40" s="5" t="s">
        <v>17</v>
      </c>
      <c r="C40" s="5" t="s">
        <v>301</v>
      </c>
      <c r="D40" s="5" t="s">
        <v>302</v>
      </c>
    </row>
    <row r="41" spans="1:4" ht="13.5" x14ac:dyDescent="0.2">
      <c r="A41" s="36" t="s">
        <v>230</v>
      </c>
      <c r="B41" s="5" t="s">
        <v>303</v>
      </c>
      <c r="C41" s="5" t="s">
        <v>304</v>
      </c>
      <c r="D41" s="5" t="s">
        <v>20</v>
      </c>
    </row>
    <row r="42" spans="1:4" ht="13.5" x14ac:dyDescent="0.2">
      <c r="A42" s="36" t="s">
        <v>230</v>
      </c>
      <c r="B42" s="5" t="s">
        <v>305</v>
      </c>
      <c r="C42" s="5" t="s">
        <v>306</v>
      </c>
      <c r="D42" s="5" t="s">
        <v>307</v>
      </c>
    </row>
    <row r="43" spans="1:4" ht="13.5" x14ac:dyDescent="0.2">
      <c r="A43" s="36" t="s">
        <v>230</v>
      </c>
      <c r="B43" s="5" t="s">
        <v>308</v>
      </c>
      <c r="C43" s="5" t="s">
        <v>309</v>
      </c>
      <c r="D43" s="5" t="s">
        <v>310</v>
      </c>
    </row>
    <row r="44" spans="1:4" ht="13.5" x14ac:dyDescent="0.2">
      <c r="A44" s="36"/>
      <c r="B44" s="5"/>
      <c r="C44" s="5"/>
      <c r="D44" s="5"/>
    </row>
    <row r="45" spans="1:4" ht="13.5" x14ac:dyDescent="0.2">
      <c r="A45" s="36"/>
      <c r="B45" s="5"/>
      <c r="C45" s="5"/>
      <c r="D45" s="5"/>
    </row>
    <row r="46" spans="1:4" ht="13.5" x14ac:dyDescent="0.2">
      <c r="A46" s="36"/>
      <c r="B46" s="5"/>
      <c r="C46" s="5"/>
      <c r="D46" s="5"/>
    </row>
    <row r="47" spans="1:4" x14ac:dyDescent="0.2">
      <c r="A47" s="4"/>
      <c r="B47" s="5"/>
      <c r="C47" s="5"/>
      <c r="D47" s="5"/>
    </row>
    <row r="48" spans="1:4" x14ac:dyDescent="0.2">
      <c r="A48" s="4"/>
      <c r="B48" s="5"/>
      <c r="C48" s="5"/>
      <c r="D48" s="5"/>
    </row>
    <row r="49" spans="1:4" x14ac:dyDescent="0.2">
      <c r="A49" s="20"/>
      <c r="B49" s="21"/>
      <c r="C49" s="21"/>
      <c r="D49" s="21"/>
    </row>
  </sheetData>
  <pageMargins left="0.70866141732283472" right="0.70866141732283472" top="0.74803149606299213" bottom="0.74803149606299213" header="0.31496062992125984" footer="0.31496062992125984"/>
  <pageSetup paperSize="8" orientation="landscape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26"/>
  <sheetViews>
    <sheetView workbookViewId="0">
      <selection activeCell="A14" sqref="A14:XFD14"/>
    </sheetView>
  </sheetViews>
  <sheetFormatPr defaultRowHeight="12" x14ac:dyDescent="0.2"/>
  <sheetData>
    <row r="1" spans="1:1" x14ac:dyDescent="0.2">
      <c r="A1" t="s">
        <v>311</v>
      </c>
    </row>
    <row r="2" spans="1:1" x14ac:dyDescent="0.2">
      <c r="A2" t="s">
        <v>312</v>
      </c>
    </row>
    <row r="3" spans="1:1" x14ac:dyDescent="0.2">
      <c r="A3" t="s">
        <v>313</v>
      </c>
    </row>
    <row r="5" spans="1:1" x14ac:dyDescent="0.2">
      <c r="A5" t="s">
        <v>314</v>
      </c>
    </row>
    <row r="6" spans="1:1" x14ac:dyDescent="0.2">
      <c r="A6" t="s">
        <v>315</v>
      </c>
    </row>
    <row r="7" spans="1:1" x14ac:dyDescent="0.2">
      <c r="A7" t="s">
        <v>316</v>
      </c>
    </row>
    <row r="8" spans="1:1" x14ac:dyDescent="0.2">
      <c r="A8" t="s">
        <v>317</v>
      </c>
    </row>
    <row r="9" spans="1:1" x14ac:dyDescent="0.2">
      <c r="A9" t="s">
        <v>318</v>
      </c>
    </row>
    <row r="10" spans="1:1" x14ac:dyDescent="0.2">
      <c r="A10" t="s">
        <v>319</v>
      </c>
    </row>
    <row r="11" spans="1:1" x14ac:dyDescent="0.2">
      <c r="A11" t="s">
        <v>320</v>
      </c>
    </row>
    <row r="13" spans="1:1" x14ac:dyDescent="0.2">
      <c r="A13" t="s">
        <v>321</v>
      </c>
    </row>
    <row r="14" spans="1:1" x14ac:dyDescent="0.2">
      <c r="A14" t="s">
        <v>322</v>
      </c>
    </row>
    <row r="15" spans="1:1" x14ac:dyDescent="0.2">
      <c r="A15" t="s">
        <v>323</v>
      </c>
    </row>
    <row r="16" spans="1:1" x14ac:dyDescent="0.2">
      <c r="A16" t="s">
        <v>324</v>
      </c>
    </row>
    <row r="17" spans="1:1" x14ac:dyDescent="0.2">
      <c r="A17" t="s">
        <v>325</v>
      </c>
    </row>
    <row r="18" spans="1:1" x14ac:dyDescent="0.2">
      <c r="A18" t="s">
        <v>326</v>
      </c>
    </row>
    <row r="19" spans="1:1" x14ac:dyDescent="0.2">
      <c r="A19" t="s">
        <v>327</v>
      </c>
    </row>
    <row r="20" spans="1:1" x14ac:dyDescent="0.2">
      <c r="A20" t="s">
        <v>328</v>
      </c>
    </row>
    <row r="21" spans="1:1" x14ac:dyDescent="0.2">
      <c r="A21" t="s">
        <v>329</v>
      </c>
    </row>
    <row r="23" spans="1:1" x14ac:dyDescent="0.2">
      <c r="A23" t="s">
        <v>7</v>
      </c>
    </row>
    <row r="24" spans="1:1" x14ac:dyDescent="0.2">
      <c r="A24" t="s">
        <v>18</v>
      </c>
    </row>
    <row r="25" spans="1:1" x14ac:dyDescent="0.2">
      <c r="A25" t="s">
        <v>85</v>
      </c>
    </row>
    <row r="26" spans="1:1" x14ac:dyDescent="0.2">
      <c r="A26" t="s">
        <v>330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2B97E-12A8-44B9-937D-EFAD8CA31F38}">
  <dimension ref="A1:AJ43"/>
  <sheetViews>
    <sheetView workbookViewId="0">
      <pane ySplit="1" topLeftCell="A21" activePane="bottomLeft" state="frozen"/>
      <selection pane="bottomLeft" activeCell="B31" sqref="B31"/>
    </sheetView>
  </sheetViews>
  <sheetFormatPr defaultRowHeight="15" x14ac:dyDescent="0.25"/>
  <cols>
    <col min="1" max="1" width="52.1640625" style="156" customWidth="1"/>
    <col min="2" max="3" width="9.1640625" style="129" customWidth="1"/>
    <col min="4" max="4" width="9.33203125" style="129" customWidth="1"/>
    <col min="5" max="19" width="8.5" style="126" customWidth="1"/>
    <col min="20" max="21" width="9.33203125" style="126" customWidth="1"/>
    <col min="22" max="32" width="8.5" style="126" customWidth="1"/>
  </cols>
  <sheetData>
    <row r="1" spans="1:36" x14ac:dyDescent="0.2">
      <c r="A1" s="134" t="s">
        <v>124</v>
      </c>
      <c r="B1" s="136" t="s">
        <v>172</v>
      </c>
      <c r="C1" s="137" t="s">
        <v>173</v>
      </c>
      <c r="D1" s="138" t="s">
        <v>174</v>
      </c>
      <c r="E1" s="135">
        <v>45352</v>
      </c>
      <c r="F1" s="135">
        <v>45353</v>
      </c>
      <c r="G1" s="135">
        <v>45354</v>
      </c>
      <c r="H1" s="135">
        <v>45355</v>
      </c>
      <c r="I1" s="135">
        <v>45356</v>
      </c>
      <c r="J1" s="135">
        <v>45357</v>
      </c>
      <c r="K1" s="135">
        <v>45358</v>
      </c>
      <c r="L1" s="135">
        <v>45359</v>
      </c>
      <c r="M1" s="135">
        <v>45360</v>
      </c>
      <c r="N1" s="135">
        <v>45361</v>
      </c>
      <c r="O1" s="135">
        <v>45362</v>
      </c>
      <c r="P1" s="135">
        <v>45363</v>
      </c>
      <c r="Q1" s="135">
        <v>45364</v>
      </c>
      <c r="R1" s="135">
        <v>45365</v>
      </c>
      <c r="S1" s="135">
        <v>45366</v>
      </c>
      <c r="T1" s="135">
        <v>45367</v>
      </c>
      <c r="U1" s="135">
        <v>45368</v>
      </c>
      <c r="V1" s="135">
        <v>45369</v>
      </c>
      <c r="W1" s="135">
        <v>45370</v>
      </c>
      <c r="X1" s="135">
        <v>45371</v>
      </c>
      <c r="Y1" s="135">
        <v>45372</v>
      </c>
      <c r="Z1" s="135">
        <v>45373</v>
      </c>
      <c r="AA1" s="135">
        <v>45374</v>
      </c>
      <c r="AB1" s="135">
        <v>45375</v>
      </c>
      <c r="AC1" s="135">
        <v>45376</v>
      </c>
      <c r="AD1" s="135">
        <v>45377</v>
      </c>
      <c r="AE1" s="135">
        <v>45378</v>
      </c>
      <c r="AF1" s="135">
        <v>45379</v>
      </c>
      <c r="AG1" s="135">
        <v>45380</v>
      </c>
      <c r="AH1" s="135">
        <v>45381</v>
      </c>
      <c r="AI1" s="135">
        <v>45382</v>
      </c>
      <c r="AJ1" t="s">
        <v>218</v>
      </c>
    </row>
    <row r="2" spans="1:36" ht="18.75" customHeight="1" x14ac:dyDescent="0.2">
      <c r="A2" s="141" t="s">
        <v>158</v>
      </c>
      <c r="B2" s="139">
        <f>'Feb2025'!B2+1.25- (COUNTIF(E2:AI2, "VL") * 1) - (COUNTIF(E2:AI2, "HDL") * 0.5)</f>
        <v>3.75</v>
      </c>
      <c r="C2" s="140">
        <f>'Feb2025'!C2-COUNTIF(E2:AI2, "SL")-(COUNTIF(E2:AI2, "HDSL") * 0.5)</f>
        <v>4</v>
      </c>
      <c r="D2" s="158">
        <f>'Feb2025'!D2-COUNTIF(E2:AI2, "SPL")</f>
        <v>0</v>
      </c>
      <c r="E2" s="169"/>
      <c r="F2" s="169"/>
      <c r="G2" s="169"/>
      <c r="H2" s="169"/>
      <c r="I2" s="169"/>
      <c r="J2" s="169" t="s">
        <v>172</v>
      </c>
      <c r="K2" s="169"/>
      <c r="L2" s="169"/>
      <c r="M2" s="169"/>
      <c r="N2" s="169"/>
      <c r="O2" s="169"/>
      <c r="P2" s="169" t="s">
        <v>172</v>
      </c>
      <c r="Q2" s="169"/>
      <c r="R2" s="169"/>
      <c r="S2" s="169"/>
      <c r="T2" s="169"/>
      <c r="U2" s="169"/>
      <c r="V2" s="169"/>
      <c r="W2" s="169"/>
      <c r="X2" s="169"/>
      <c r="Y2" s="169"/>
      <c r="Z2" s="169" t="s">
        <v>172</v>
      </c>
      <c r="AA2" s="169"/>
      <c r="AB2" s="169"/>
      <c r="AC2" s="169" t="s">
        <v>172</v>
      </c>
      <c r="AD2" s="169" t="s">
        <v>172</v>
      </c>
      <c r="AE2" s="169"/>
      <c r="AF2" s="169"/>
      <c r="AG2" s="169"/>
      <c r="AH2" s="169"/>
      <c r="AI2" s="169"/>
      <c r="AJ2">
        <f>COUNTIF(E2:AI2,"SL")</f>
        <v>0</v>
      </c>
    </row>
    <row r="3" spans="1:36" ht="18.75" customHeight="1" x14ac:dyDescent="0.2">
      <c r="A3" s="141" t="s">
        <v>160</v>
      </c>
      <c r="B3" s="139">
        <f>'Feb2025'!B3+1.25- (COUNTIF(E3:AI3, "VL") * 1) - (COUNTIF(E3:AI3, "HDL") * 0.5)</f>
        <v>13.75</v>
      </c>
      <c r="C3" s="140">
        <f>'Feb2025'!C3-COUNTIF(E3:AI3, "SL")-(COUNTIF(E3:AI3, "HDSL") * 0.5)</f>
        <v>5</v>
      </c>
      <c r="D3" s="158">
        <f>'Feb2025'!D3-COUNTIF(E3:AI3, "SPL")</f>
        <v>0</v>
      </c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 t="s">
        <v>172</v>
      </c>
      <c r="AJ3">
        <f t="shared" ref="AJ3:AJ42" si="0">COUNTIF(E3:AI3,"SL")</f>
        <v>0</v>
      </c>
    </row>
    <row r="4" spans="1:36" ht="18.75" customHeight="1" x14ac:dyDescent="0.2">
      <c r="A4" s="141" t="s">
        <v>149</v>
      </c>
      <c r="B4" s="139">
        <f>'Feb2025'!B4+1.25- (COUNTIF(E4:AI4, "VL") * 1) - (COUNTIF(E4:AI4, "HDL") * 0.5)</f>
        <v>11.5</v>
      </c>
      <c r="C4" s="140">
        <f>'Feb2025'!C4-COUNTIF(E4:AI4, "SL")-(COUNTIF(E4:AI4, "HDSL") * 0.5)</f>
        <v>2</v>
      </c>
      <c r="D4" s="158">
        <f>'Feb2025'!D4-COUNTIF(E4:AI4, "SPL")</f>
        <v>0</v>
      </c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 t="s">
        <v>172</v>
      </c>
      <c r="P4" s="170" t="s">
        <v>173</v>
      </c>
      <c r="Q4" s="170"/>
      <c r="R4" s="170"/>
      <c r="S4" s="170"/>
      <c r="T4" s="170"/>
      <c r="U4" s="170"/>
      <c r="V4" s="170"/>
      <c r="W4" s="170"/>
      <c r="X4" s="170"/>
      <c r="Y4" s="170" t="s">
        <v>172</v>
      </c>
      <c r="Z4" s="170"/>
      <c r="AA4" s="170"/>
      <c r="AB4" s="170" t="s">
        <v>172</v>
      </c>
      <c r="AC4" s="170" t="s">
        <v>172</v>
      </c>
      <c r="AD4" s="170" t="s">
        <v>173</v>
      </c>
      <c r="AE4" s="170"/>
      <c r="AF4" s="170"/>
      <c r="AG4" s="170"/>
      <c r="AH4" s="170"/>
      <c r="AI4" s="170"/>
      <c r="AJ4">
        <f t="shared" si="0"/>
        <v>2</v>
      </c>
    </row>
    <row r="5" spans="1:36" ht="18.75" customHeight="1" x14ac:dyDescent="0.2">
      <c r="A5" s="141" t="s">
        <v>142</v>
      </c>
      <c r="B5" s="139">
        <f>'Feb2025'!B5+1.25- (COUNTIF(E5:AI5, "VL") * 1) - (COUNTIF(E5:AI5, "HDL") * 0.5)</f>
        <v>6.75</v>
      </c>
      <c r="C5" s="140">
        <f>'Feb2025'!C5-COUNTIF(E5:AI5, "SL")-(COUNTIF(E5:AI5, "HDSL") * 0.5)</f>
        <v>2.5</v>
      </c>
      <c r="D5" s="158">
        <f>'Feb2025'!D5-COUNTIF(E5:AI5, "SPL")</f>
        <v>0</v>
      </c>
      <c r="E5" s="170"/>
      <c r="F5" s="170"/>
      <c r="G5" s="170" t="s">
        <v>173</v>
      </c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 t="s">
        <v>172</v>
      </c>
      <c r="S5" s="170"/>
      <c r="T5" s="170"/>
      <c r="U5" s="170" t="s">
        <v>173</v>
      </c>
      <c r="V5" s="170"/>
      <c r="W5" s="170"/>
      <c r="X5" s="170"/>
      <c r="Y5" s="248" t="s">
        <v>331</v>
      </c>
      <c r="Z5" s="170"/>
      <c r="AA5" s="170"/>
      <c r="AB5" s="248" t="s">
        <v>331</v>
      </c>
      <c r="AC5" s="248" t="s">
        <v>331</v>
      </c>
      <c r="AD5" s="170" t="s">
        <v>172</v>
      </c>
      <c r="AE5" s="170"/>
      <c r="AF5" s="170"/>
      <c r="AG5" s="170"/>
      <c r="AH5" s="170"/>
      <c r="AI5" s="170"/>
      <c r="AJ5">
        <f t="shared" si="0"/>
        <v>2</v>
      </c>
    </row>
    <row r="6" spans="1:36" ht="18.75" customHeight="1" x14ac:dyDescent="0.2">
      <c r="A6" s="141" t="s">
        <v>176</v>
      </c>
      <c r="B6" s="139">
        <f>'Feb2025'!B6+1.25- (COUNTIF(E6:AI6, "VL") * 1) - (COUNTIF(E6:AI6, "HDL") * 0.5)</f>
        <v>2.75</v>
      </c>
      <c r="C6" s="140">
        <f>'Feb2025'!C6-COUNTIF(E6:AI6, "SL")-(COUNTIF(E6:AI6, "HDSL") * 0.5)</f>
        <v>5</v>
      </c>
      <c r="D6" s="158">
        <f>'Feb2025'!D6-COUNTIF(E6:AI6, "SPL")</f>
        <v>0</v>
      </c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1"/>
      <c r="AI6" s="171"/>
      <c r="AJ6">
        <f t="shared" si="0"/>
        <v>0</v>
      </c>
    </row>
    <row r="7" spans="1:36" ht="18.75" customHeight="1" x14ac:dyDescent="0.2">
      <c r="A7" s="141" t="s">
        <v>177</v>
      </c>
      <c r="B7" s="139">
        <f>'Feb2025'!B7+1.25- (COUNTIF(E7:AI7, "VL") * 1) - (COUNTIF(E7:AI7, "HDL") * 0.5)</f>
        <v>3.5</v>
      </c>
      <c r="C7" s="140">
        <f>'Feb2025'!C7-COUNTIF(E7:AI7, "SL")-(COUNTIF(E7:AI7, "HDSL") * 0.5)</f>
        <v>3</v>
      </c>
      <c r="D7" s="158">
        <f>'Feb2025'!D7-COUNTIF(E7:AI7, "SPL")</f>
        <v>0</v>
      </c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 t="s">
        <v>172</v>
      </c>
      <c r="AG7" s="171"/>
      <c r="AH7" s="171"/>
      <c r="AI7" s="171" t="s">
        <v>173</v>
      </c>
      <c r="AJ7">
        <f t="shared" si="0"/>
        <v>1</v>
      </c>
    </row>
    <row r="8" spans="1:36" ht="18.75" customHeight="1" x14ac:dyDescent="0.2">
      <c r="A8" s="141" t="s">
        <v>178</v>
      </c>
      <c r="B8" s="139">
        <f>'Feb2025'!B8+1.25-6.5- (COUNTIF(E8:AI8, "VL") * 1) - (COUNTIF(E8:AI8, "HDL") * 0.5)</f>
        <v>2.25</v>
      </c>
      <c r="C8" s="140">
        <f>'Feb2025'!C8-COUNTIF(E8:AI8, "SL")-(COUNTIF(E8:AI8, "HDSL") * 0.5)</f>
        <v>5</v>
      </c>
      <c r="D8" s="158">
        <f>'Feb2025'!D8-COUNTIF(E8:AI8, "SPL")</f>
        <v>0</v>
      </c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  <c r="AA8" s="170"/>
      <c r="AB8" s="170"/>
      <c r="AC8" s="170"/>
      <c r="AD8" s="170"/>
      <c r="AE8" s="170"/>
      <c r="AF8" s="170"/>
      <c r="AG8" s="170"/>
      <c r="AH8" s="170"/>
      <c r="AI8" s="170"/>
      <c r="AJ8">
        <f t="shared" si="0"/>
        <v>0</v>
      </c>
    </row>
    <row r="9" spans="1:36" ht="18.75" customHeight="1" x14ac:dyDescent="0.2">
      <c r="A9" s="141" t="s">
        <v>162</v>
      </c>
      <c r="B9" s="139">
        <f>'Feb2025'!B9+1.25- (COUNTIF(E9:AI9, "VL") * 1) - (COUNTIF(E9:AI9, "HDL") * 0.5)</f>
        <v>8</v>
      </c>
      <c r="C9" s="140">
        <f>'Feb2025'!C9-COUNTIF(E9:AI9, "SL")-(COUNTIF(E9:AI9, "HDSL") * 0.5)</f>
        <v>5</v>
      </c>
      <c r="D9" s="158">
        <f>'Feb2025'!D9-COUNTIF(E9:AI9, "SPL")</f>
        <v>0</v>
      </c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>
        <f t="shared" si="0"/>
        <v>0</v>
      </c>
    </row>
    <row r="10" spans="1:36" ht="18.75" customHeight="1" x14ac:dyDescent="0.2">
      <c r="A10" s="141" t="s">
        <v>179</v>
      </c>
      <c r="B10" s="139">
        <f>'Feb2025'!B10+1.25- (COUNTIF(E10:AI10, "VL") * 1) - (COUNTIF(E10:AI10, "HDL") * 0.5)</f>
        <v>4.25</v>
      </c>
      <c r="C10" s="140">
        <f>'Feb2025'!C10-COUNTIF(E10:AI10, "SL")-(COUNTIF(E10:AI10, "HDSL") * 0.5)</f>
        <v>4</v>
      </c>
      <c r="D10" s="158">
        <f>'Feb2025'!D10-COUNTIF(E10:AI10, "SPL")</f>
        <v>0</v>
      </c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  <c r="AC10" s="171" t="s">
        <v>182</v>
      </c>
      <c r="AD10" s="171"/>
      <c r="AE10" s="171"/>
      <c r="AF10" s="171" t="s">
        <v>173</v>
      </c>
      <c r="AG10" s="171"/>
      <c r="AH10" s="171"/>
      <c r="AI10" s="171" t="s">
        <v>172</v>
      </c>
      <c r="AJ10">
        <f t="shared" si="0"/>
        <v>1</v>
      </c>
    </row>
    <row r="11" spans="1:36" ht="18.75" customHeight="1" x14ac:dyDescent="0.2">
      <c r="A11" s="141" t="s">
        <v>151</v>
      </c>
      <c r="B11" s="139">
        <f>'Feb2025'!B11+1.25- (COUNTIF(E11:AI11, "VL") * 1) - (COUNTIF(E11:AI11, "HDL") * 0.5)</f>
        <v>13</v>
      </c>
      <c r="C11" s="140">
        <f>'Feb2025'!C11-COUNTIF(E11:AI11, "SL")-(COUNTIF(E11:AI11, "HDSL") * 0.5)</f>
        <v>1.5</v>
      </c>
      <c r="D11" s="158">
        <f>'Feb2025'!D11-COUNTIF(E11:AI11, "SPL")</f>
        <v>4</v>
      </c>
      <c r="E11" s="170"/>
      <c r="F11" s="170"/>
      <c r="G11" s="172" t="s">
        <v>173</v>
      </c>
      <c r="H11" s="170"/>
      <c r="I11" s="170"/>
      <c r="J11" s="170"/>
      <c r="K11" s="170"/>
      <c r="L11" s="170"/>
      <c r="M11" s="170"/>
      <c r="N11" s="170"/>
      <c r="O11" s="170" t="s">
        <v>174</v>
      </c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>
        <f t="shared" si="0"/>
        <v>1</v>
      </c>
    </row>
    <row r="12" spans="1:36" ht="18.75" customHeight="1" x14ac:dyDescent="0.2">
      <c r="A12" s="141" t="s">
        <v>180</v>
      </c>
      <c r="B12" s="139">
        <f>'Feb2025'!B12+1.25- (COUNTIF(E12:AI12, "VL") * 1) - (COUNTIF(E12:AI12, "HDL") * 0.5)</f>
        <v>5.25</v>
      </c>
      <c r="C12" s="140">
        <f>'Feb2025'!C12-COUNTIF(E12:AI12, "SL")-(COUNTIF(E12:AI12, "HDSL") * 0.5)</f>
        <v>5</v>
      </c>
      <c r="D12" s="158">
        <f>'Feb2025'!D12-COUNTIF(E12:AI12, "SPL")</f>
        <v>0</v>
      </c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  <c r="AE12" s="170"/>
      <c r="AF12" s="170"/>
      <c r="AG12" s="170"/>
      <c r="AH12" s="170"/>
      <c r="AI12" s="170"/>
      <c r="AJ12">
        <f t="shared" si="0"/>
        <v>0</v>
      </c>
    </row>
    <row r="13" spans="1:36" ht="18.75" customHeight="1" x14ac:dyDescent="0.2">
      <c r="A13" s="141" t="s">
        <v>181</v>
      </c>
      <c r="B13" s="139">
        <f>'Feb2025'!B13+1.25- (COUNTIF(E13:AI13, "VL") * 1) - (COUNTIF(E13:AI13, "HDL") * 0.5)</f>
        <v>7.25</v>
      </c>
      <c r="C13" s="140">
        <f>'Feb2025'!C13-COUNTIF(E13:AI13, "SL")-(COUNTIF(E13:AI13, "HDSL") * 0.5)</f>
        <v>1</v>
      </c>
      <c r="D13" s="158">
        <f>'Feb2025'!D13-COUNTIF(E13:AI13, "SPL")</f>
        <v>0</v>
      </c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 t="s">
        <v>173</v>
      </c>
      <c r="AB13" s="170"/>
      <c r="AC13" s="170" t="s">
        <v>173</v>
      </c>
      <c r="AD13" s="170"/>
      <c r="AE13" s="170"/>
      <c r="AF13" s="170"/>
      <c r="AG13" s="170"/>
      <c r="AH13" s="170"/>
      <c r="AI13" s="170"/>
      <c r="AJ13">
        <f t="shared" si="0"/>
        <v>2</v>
      </c>
    </row>
    <row r="14" spans="1:36" ht="18.75" customHeight="1" x14ac:dyDescent="0.2">
      <c r="A14" s="141" t="s">
        <v>221</v>
      </c>
      <c r="B14" s="139">
        <f>'Feb2025'!B14+1.25- (COUNTIF(E14:AI14, "VL") * 1) - (COUNTIF(E14:AI14, "HDL") * 0.5)</f>
        <v>8.75</v>
      </c>
      <c r="C14" s="140">
        <f>'Feb2025'!C14+0.416-COUNTIF(E14:AI14, "SL")-(COUNTIF(E14:AI14, "HDSL") * 0.5)</f>
        <v>2.9119999999999999</v>
      </c>
      <c r="D14" s="174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3"/>
      <c r="AH14" s="173"/>
      <c r="AI14" s="173"/>
      <c r="AJ14">
        <f t="shared" si="0"/>
        <v>0</v>
      </c>
    </row>
    <row r="15" spans="1:36" ht="18.75" customHeight="1" x14ac:dyDescent="0.2">
      <c r="A15" s="141" t="s">
        <v>152</v>
      </c>
      <c r="B15" s="139">
        <f>'Feb2025'!B15+1.25- (COUNTIF(E15:AI15, "VL") * 1) - (COUNTIF(E15:AI15, "HDL") * 0.5)</f>
        <v>8.375</v>
      </c>
      <c r="C15" s="140">
        <f>'Feb2025'!C15-COUNTIF(E15:AI15, "SL")-(COUNTIF(E15:AI15, "HDSL") * 0.5)</f>
        <v>3</v>
      </c>
      <c r="D15" s="174">
        <f>'Feb2025'!D15-COUNTIF(E15:AI15, "SPL")</f>
        <v>0</v>
      </c>
      <c r="E15" s="170"/>
      <c r="F15" s="170"/>
      <c r="G15" s="170" t="s">
        <v>172</v>
      </c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>
        <f t="shared" si="0"/>
        <v>0</v>
      </c>
    </row>
    <row r="16" spans="1:36" ht="18.75" customHeight="1" x14ac:dyDescent="0.2">
      <c r="A16" s="141" t="s">
        <v>170</v>
      </c>
      <c r="B16" s="139">
        <f>'Feb2025'!B16+1.25- (COUNTIF(E16:AI16, "VL") * 1) - (COUNTIF(E16:AI16, "HDL") * 0.5)</f>
        <v>7.75</v>
      </c>
      <c r="C16" s="140">
        <f>'Feb2025'!C16-COUNTIF(E16:AI16, "SL")-(COUNTIF(E16:AI16, "HDSL") * 0.5)</f>
        <v>2</v>
      </c>
      <c r="D16" s="174">
        <f>'Feb2025'!D16-COUNTIF(E16:AI16, "SPL")</f>
        <v>0</v>
      </c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 t="s">
        <v>173</v>
      </c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>
        <f t="shared" si="0"/>
        <v>1</v>
      </c>
    </row>
    <row r="17" spans="1:36" ht="18.75" customHeight="1" x14ac:dyDescent="0.2">
      <c r="A17" s="141" t="s">
        <v>145</v>
      </c>
      <c r="B17" s="139">
        <f>'Feb2025'!B17+1.25- (COUNTIF(E17:AI17, "VL") * 1) - (COUNTIF(E17:AI17, "HDL") * 0.5)</f>
        <v>3.5</v>
      </c>
      <c r="C17" s="140">
        <f>'Feb2025'!C17-COUNTIF(E17:AI17, "SL")-(COUNTIF(E17:AI17, "HDSL") * 0.5)</f>
        <v>1</v>
      </c>
      <c r="D17" s="174">
        <f>'Feb2025'!D17-COUNTIF(E17:AI17, "SPL")</f>
        <v>0</v>
      </c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 t="s">
        <v>173</v>
      </c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 t="s">
        <v>173</v>
      </c>
      <c r="AJ17">
        <f t="shared" si="0"/>
        <v>2</v>
      </c>
    </row>
    <row r="18" spans="1:36" ht="18.75" customHeight="1" x14ac:dyDescent="0.2">
      <c r="A18" s="141" t="s">
        <v>165</v>
      </c>
      <c r="B18" s="139">
        <f>'Feb2025'!B18+1.25- (COUNTIF(E18:AI18, "VL") * 1) - (COUNTIF(E18:AI18, "HDL") * 0.5)</f>
        <v>11</v>
      </c>
      <c r="C18" s="140">
        <f>'Feb2025'!C18-COUNTIF(E18:AI18, "SL")-(COUNTIF(E18:AI18, "HDSL") * 0.5)</f>
        <v>5</v>
      </c>
      <c r="D18" s="174">
        <f>'Feb2025'!D18-COUNTIF(E18:AI18, "SPL")</f>
        <v>0</v>
      </c>
      <c r="E18" s="170"/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>
        <f t="shared" si="0"/>
        <v>0</v>
      </c>
    </row>
    <row r="19" spans="1:36" ht="18.75" customHeight="1" x14ac:dyDescent="0.2">
      <c r="A19" s="141" t="s">
        <v>150</v>
      </c>
      <c r="B19" s="139">
        <f>'Feb2025'!B19+1.25- (COUNTIF(E19:AI19, "VL") * 1) - (COUNTIF(E19:AI19, "HDL") * 0.5)</f>
        <v>9</v>
      </c>
      <c r="C19" s="140">
        <f>'Feb2025'!C19-COUNTIF(E19:AI19, "SL")-(COUNTIF(E19:AI19, "HDSL") * 0.5)</f>
        <v>2</v>
      </c>
      <c r="D19" s="174">
        <f>'Feb2025'!D19-COUNTIF(E19:AI19, "SPL")</f>
        <v>0</v>
      </c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 t="s">
        <v>173</v>
      </c>
      <c r="U19" s="170"/>
      <c r="V19" s="170"/>
      <c r="W19" s="170"/>
      <c r="X19" s="170"/>
      <c r="Y19" s="170"/>
      <c r="Z19" s="170"/>
      <c r="AA19" s="170"/>
      <c r="AB19" s="170" t="s">
        <v>172</v>
      </c>
      <c r="AC19" s="170" t="s">
        <v>172</v>
      </c>
      <c r="AD19" s="170" t="s">
        <v>172</v>
      </c>
      <c r="AE19" s="170"/>
      <c r="AF19" s="170"/>
      <c r="AG19" s="170"/>
      <c r="AH19" s="170"/>
      <c r="AI19" s="170"/>
      <c r="AJ19">
        <f t="shared" si="0"/>
        <v>1</v>
      </c>
    </row>
    <row r="20" spans="1:36" ht="18.75" customHeight="1" x14ac:dyDescent="0.2">
      <c r="A20" s="141" t="s">
        <v>147</v>
      </c>
      <c r="B20" s="139">
        <f>'Feb2025'!B20+1.25- (COUNTIF(E20:AI20, "VL") * 1) - (COUNTIF(E20:AI20, "HDL") * 0.5)</f>
        <v>10.25</v>
      </c>
      <c r="C20" s="140">
        <f>'Feb2025'!C20-COUNTIF(E20:AI20, "SL")-(COUNTIF(E20:AI20, "HDSL") * 0.5)</f>
        <v>5</v>
      </c>
      <c r="D20" s="174">
        <f>'Feb2025'!D20-COUNTIF(E20:AI20, "SPL")</f>
        <v>0</v>
      </c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 t="s">
        <v>172</v>
      </c>
      <c r="Y20" s="170" t="s">
        <v>172</v>
      </c>
      <c r="Z20" s="170"/>
      <c r="AA20" s="170"/>
      <c r="AB20" s="170" t="s">
        <v>172</v>
      </c>
      <c r="AC20" s="170" t="s">
        <v>172</v>
      </c>
      <c r="AD20" s="170" t="s">
        <v>172</v>
      </c>
      <c r="AE20" s="170"/>
      <c r="AF20" s="170"/>
      <c r="AG20" s="170"/>
      <c r="AH20" s="170"/>
      <c r="AI20" s="170"/>
      <c r="AJ20">
        <f t="shared" si="0"/>
        <v>0</v>
      </c>
    </row>
    <row r="21" spans="1:36" ht="18.75" customHeight="1" x14ac:dyDescent="0.2">
      <c r="A21" s="141" t="s">
        <v>168</v>
      </c>
      <c r="B21" s="139">
        <f>'Feb2025'!B21+1.25- (COUNTIF(E21:AI21, "VL") * 1) - (COUNTIF(E21:AI21, "HDL") * 0.5)</f>
        <v>6.75</v>
      </c>
      <c r="C21" s="140">
        <f>'Feb2025'!C21-COUNTIF(E21:AI21, "SL")-(COUNTIF(E21:AI21, "HDSL") * 0.5)</f>
        <v>1.5</v>
      </c>
      <c r="D21" s="174">
        <f>'Feb2025'!D21-COUNTIF(E21:AI21, "SPL")</f>
        <v>0</v>
      </c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 t="s">
        <v>175</v>
      </c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 t="s">
        <v>172</v>
      </c>
      <c r="AD21" s="170" t="s">
        <v>172</v>
      </c>
      <c r="AE21" s="170" t="s">
        <v>172</v>
      </c>
      <c r="AF21" s="170" t="s">
        <v>172</v>
      </c>
      <c r="AG21" s="170"/>
      <c r="AH21" s="170"/>
      <c r="AI21" s="170" t="s">
        <v>172</v>
      </c>
      <c r="AJ21">
        <f t="shared" si="0"/>
        <v>0</v>
      </c>
    </row>
    <row r="22" spans="1:36" ht="18.75" customHeight="1" x14ac:dyDescent="0.2">
      <c r="A22" s="141" t="s">
        <v>156</v>
      </c>
      <c r="B22" s="139">
        <f>'Feb2025'!B22+1.25- (COUNTIF(E22:AI22, "VL") * 1) - (COUNTIF(E22:AI22, "HDL") * 0.5)</f>
        <v>1.5</v>
      </c>
      <c r="C22" s="140">
        <f>'Feb2025'!C22-COUNTIF(E22:AI22, "SL")-(COUNTIF(E22:AI22, "HDSL") * 0.5)</f>
        <v>3</v>
      </c>
      <c r="D22" s="174">
        <f>'Feb2025'!D22-COUNTIF(E22:AI22, "SPL")</f>
        <v>0</v>
      </c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 t="s">
        <v>173</v>
      </c>
      <c r="R22" s="170"/>
      <c r="S22" s="170"/>
      <c r="T22" s="170"/>
      <c r="U22" s="170"/>
      <c r="V22" s="170"/>
      <c r="W22" s="170"/>
      <c r="X22" s="170" t="s">
        <v>172</v>
      </c>
      <c r="Y22" s="170" t="s">
        <v>182</v>
      </c>
      <c r="Z22" s="170"/>
      <c r="AA22" s="170"/>
      <c r="AB22" s="170"/>
      <c r="AC22" s="170"/>
      <c r="AD22" s="170"/>
      <c r="AE22" s="170"/>
      <c r="AF22" s="188"/>
      <c r="AG22" s="170"/>
      <c r="AH22" s="170"/>
      <c r="AI22" s="170"/>
      <c r="AJ22">
        <f t="shared" si="0"/>
        <v>1</v>
      </c>
    </row>
    <row r="23" spans="1:36" ht="18.75" customHeight="1" x14ac:dyDescent="0.2">
      <c r="A23" s="125" t="s">
        <v>183</v>
      </c>
      <c r="B23" s="139">
        <f>'Feb2025'!B23+1.25- (COUNTIF(E23:AI23, "VL") * 1) - (COUNTIF(E23:AI23, "HDL") * 0.5)</f>
        <v>3.75</v>
      </c>
      <c r="C23" s="140">
        <f>'Feb2025'!C23-COUNTIF(E23:AI23, "SL")-(COUNTIF(E23:AI23, "HDSL") * 0.5)</f>
        <v>3</v>
      </c>
      <c r="D23" s="174">
        <f>'Feb2025'!D23-COUNTIF(E23:AI23, "SPL")</f>
        <v>5</v>
      </c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 t="s">
        <v>173</v>
      </c>
      <c r="P23" s="170"/>
      <c r="Q23" s="170"/>
      <c r="R23" s="170"/>
      <c r="S23" s="170"/>
      <c r="T23" s="170"/>
      <c r="U23" s="170" t="s">
        <v>174</v>
      </c>
      <c r="V23" s="170" t="s">
        <v>172</v>
      </c>
      <c r="W23" s="170" t="s">
        <v>172</v>
      </c>
      <c r="X23" s="170"/>
      <c r="Y23" s="170"/>
      <c r="Z23" s="170"/>
      <c r="AA23" s="170"/>
      <c r="AB23" s="170"/>
      <c r="AC23" s="170"/>
      <c r="AD23" s="170"/>
      <c r="AE23" s="170"/>
      <c r="AF23" s="170"/>
      <c r="AG23" s="170"/>
      <c r="AH23" s="170"/>
      <c r="AI23" s="170"/>
      <c r="AJ23">
        <f t="shared" si="0"/>
        <v>1</v>
      </c>
    </row>
    <row r="24" spans="1:36" s="155" customFormat="1" ht="18.75" customHeight="1" x14ac:dyDescent="0.2">
      <c r="A24" s="153" t="s">
        <v>146</v>
      </c>
      <c r="B24" s="139">
        <f>'Feb2025'!B24+1.25- (COUNTIF(E24:AI24, "VL") * 1) - (COUNTIF(E24:AI24, "HDL") * 0.5)</f>
        <v>4.75</v>
      </c>
      <c r="C24" s="140">
        <f>'Feb2025'!C24-COUNTIF(E24:AI24, "SL")-(COUNTIF(E24:AI24, "HDSL") * 0.5)</f>
        <v>2</v>
      </c>
      <c r="D24" s="174">
        <f>'Feb2025'!D24-COUNTIF(E24:AI24, "SPL")</f>
        <v>0</v>
      </c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 t="s">
        <v>172</v>
      </c>
      <c r="P24" s="170" t="s">
        <v>172</v>
      </c>
      <c r="Q24" s="170" t="s">
        <v>172</v>
      </c>
      <c r="R24" s="170" t="s">
        <v>172</v>
      </c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 t="s">
        <v>173</v>
      </c>
      <c r="AJ24">
        <f t="shared" si="0"/>
        <v>1</v>
      </c>
    </row>
    <row r="25" spans="1:36" ht="18.75" customHeight="1" x14ac:dyDescent="0.2">
      <c r="A25" s="125" t="s">
        <v>184</v>
      </c>
      <c r="B25" s="139">
        <f>'Feb2025'!B25+1.25- (COUNTIF(E25:AI25, "VL") * 1) - (COUNTIF(E25:AI25, "HDL") * 0.5)</f>
        <v>5.25</v>
      </c>
      <c r="C25" s="140">
        <f>'Feb2025'!C25-COUNTIF(E25:AI25, "SL")-(COUNTIF(E25:AI25, "HDSL") * 0.5)</f>
        <v>0</v>
      </c>
      <c r="D25" s="174">
        <f>'Feb2025'!D25-COUNTIF(E25:AI25, "SPL")</f>
        <v>0</v>
      </c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 t="s">
        <v>173</v>
      </c>
      <c r="P25" s="170"/>
      <c r="Q25" s="170"/>
      <c r="R25" s="170"/>
      <c r="S25" s="170"/>
      <c r="T25" s="170"/>
      <c r="U25" s="170"/>
      <c r="V25" s="170"/>
      <c r="W25" s="170"/>
      <c r="X25" s="170" t="s">
        <v>173</v>
      </c>
      <c r="Y25" s="170" t="s">
        <v>173</v>
      </c>
      <c r="Z25" s="170"/>
      <c r="AA25" s="170"/>
      <c r="AB25" s="170"/>
      <c r="AC25" s="170"/>
      <c r="AD25" s="170"/>
      <c r="AE25" s="170"/>
      <c r="AF25" s="170"/>
      <c r="AG25" s="170"/>
      <c r="AH25" s="170"/>
      <c r="AI25" s="170"/>
      <c r="AJ25">
        <f t="shared" si="0"/>
        <v>3</v>
      </c>
    </row>
    <row r="26" spans="1:36" ht="18.75" customHeight="1" x14ac:dyDescent="0.2">
      <c r="A26" s="141" t="s">
        <v>157</v>
      </c>
      <c r="B26" s="139">
        <f>'Feb2025'!B26+1.25- (COUNTIF(E26:AI26, "VL") * 1) - (COUNTIF(E26:AI26, "HDL") * 0.5)</f>
        <v>7</v>
      </c>
      <c r="C26" s="140">
        <f>'Feb2025'!C26-COUNTIF(E26:AI26, "SL")-(COUNTIF(E26:AI26, "HDSL") * 0.5)</f>
        <v>2</v>
      </c>
      <c r="D26" s="174">
        <f>'Feb2025'!D26-COUNTIF(E26:AI26, "SPL")</f>
        <v>0</v>
      </c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 t="s">
        <v>173</v>
      </c>
      <c r="AD26" s="170"/>
      <c r="AE26" s="170"/>
      <c r="AF26" s="170"/>
      <c r="AG26" s="170"/>
      <c r="AH26" s="170"/>
      <c r="AI26" s="170"/>
      <c r="AJ26">
        <f t="shared" si="0"/>
        <v>1</v>
      </c>
    </row>
    <row r="27" spans="1:36" ht="18.75" customHeight="1" x14ac:dyDescent="0.2">
      <c r="A27" s="141" t="s">
        <v>161</v>
      </c>
      <c r="B27" s="139">
        <f>'Feb2025'!B27+1.25- (COUNTIF(E27:AI27, "VL") * 1) - (COUNTIF(E27:AI27, "HDL") * 0.5)</f>
        <v>1.25</v>
      </c>
      <c r="C27" s="140">
        <f>'Feb2025'!C27-COUNTIF(E27:AI27, "SL")-(COUNTIF(E27:AI27, "HDSL") * 0.5)</f>
        <v>0</v>
      </c>
      <c r="D27" s="174">
        <f>'Feb2025'!D27-COUNTIF(E27:AI27, "SPL")</f>
        <v>0</v>
      </c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70" t="s">
        <v>173</v>
      </c>
      <c r="P27" s="170" t="s">
        <v>172</v>
      </c>
      <c r="Q27" s="170" t="s">
        <v>172</v>
      </c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>
        <f t="shared" si="0"/>
        <v>1</v>
      </c>
    </row>
    <row r="28" spans="1:36" ht="18.75" customHeight="1" x14ac:dyDescent="0.2">
      <c r="A28" s="141" t="s">
        <v>167</v>
      </c>
      <c r="B28" s="139">
        <f>'Feb2025'!B28+1.25- (COUNTIF(E28:AI28, "VL") * 1) - (COUNTIF(E28:AI28, "HDL") * 0.5)</f>
        <v>10</v>
      </c>
      <c r="C28" s="140">
        <f>'Feb2025'!C28-COUNTIF(E28:AI28, "SL")-(COUNTIF(E28:AI28, "HDSL") * 0.5)</f>
        <v>3</v>
      </c>
      <c r="D28" s="174">
        <f>'Feb2025'!D28-COUNTIF(E28:AI28, "SPL")</f>
        <v>0</v>
      </c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 t="s">
        <v>173</v>
      </c>
      <c r="V28" s="170"/>
      <c r="W28" s="170"/>
      <c r="X28" s="170"/>
      <c r="Y28" s="170" t="s">
        <v>173</v>
      </c>
      <c r="Z28" s="170"/>
      <c r="AA28" s="170"/>
      <c r="AB28" s="170"/>
      <c r="AC28" s="170"/>
      <c r="AD28" s="170"/>
      <c r="AE28" s="170"/>
      <c r="AF28" s="170"/>
      <c r="AG28" s="170"/>
      <c r="AH28" s="170"/>
      <c r="AI28" s="170"/>
      <c r="AJ28">
        <f t="shared" si="0"/>
        <v>2</v>
      </c>
    </row>
    <row r="29" spans="1:36" ht="18.75" customHeight="1" x14ac:dyDescent="0.2">
      <c r="A29" s="141" t="s">
        <v>159</v>
      </c>
      <c r="B29" s="139">
        <f>'Feb2025'!B29+1.25- (COUNTIF(E29:AI29, "VL") * 1) - (COUNTIF(E29:AI29, "HDL") * 0.5)</f>
        <v>7.75</v>
      </c>
      <c r="C29" s="140">
        <f>'Feb2025'!C29-COUNTIF(E29:AI29, "SL")-(COUNTIF(E29:AI29, "HDSL") * 0.5)</f>
        <v>4</v>
      </c>
      <c r="D29" s="174">
        <f>'Feb2025'!D29-COUNTIF(E29:AI29, "SPL")</f>
        <v>0</v>
      </c>
      <c r="E29" s="170"/>
      <c r="F29" s="170"/>
      <c r="G29" s="170"/>
      <c r="H29" s="170"/>
      <c r="I29" s="170"/>
      <c r="J29" s="170"/>
      <c r="K29" s="170"/>
      <c r="L29" s="170"/>
      <c r="M29" s="170" t="s">
        <v>172</v>
      </c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0"/>
      <c r="AG29" s="170"/>
      <c r="AH29" s="170" t="s">
        <v>172</v>
      </c>
      <c r="AI29" s="170" t="s">
        <v>173</v>
      </c>
      <c r="AJ29">
        <f t="shared" si="0"/>
        <v>1</v>
      </c>
    </row>
    <row r="30" spans="1:36" ht="18.75" customHeight="1" x14ac:dyDescent="0.2">
      <c r="A30" s="141" t="s">
        <v>223</v>
      </c>
      <c r="B30" s="139">
        <f>'Feb2025'!B30+1.25- (COUNTIF(E30:AI30, "VL") * 1) - (COUNTIF(E30:AI30, "HDL") * 0.5)</f>
        <v>8.25</v>
      </c>
      <c r="C30" s="140">
        <f>'Feb2025'!C30+0.416666666666666-COUNTIF(E30:AI30, "SL")-(COUNTIF(E30:AI30, "HDSL") * 0.5)</f>
        <v>2.9126666666666661</v>
      </c>
      <c r="D30" s="174">
        <f>'Feb2025'!D30-COUNTIF(E30:AI30, "SPL")</f>
        <v>0</v>
      </c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  <c r="AC30" s="170"/>
      <c r="AD30" s="170"/>
      <c r="AE30" s="170"/>
      <c r="AF30" s="170"/>
      <c r="AG30" s="173"/>
      <c r="AH30" s="173"/>
      <c r="AI30" s="173"/>
      <c r="AJ30">
        <f t="shared" si="0"/>
        <v>0</v>
      </c>
    </row>
    <row r="31" spans="1:36" ht="18.75" customHeight="1" x14ac:dyDescent="0.2">
      <c r="A31" s="141" t="s">
        <v>185</v>
      </c>
      <c r="B31" s="139">
        <f>'Feb2025'!B31+1.25- (COUNTIF(E31:AI31, "VL") * 1) - (COUNTIF(E31:AI31, "HDL") * 0.5)</f>
        <v>6.25</v>
      </c>
      <c r="C31" s="140">
        <f>'Feb2025'!C31-COUNTIF(E31:AI31, "SL")-(COUNTIF(E31:AI31, "HDSL") * 0.5)</f>
        <v>3</v>
      </c>
      <c r="D31" s="174">
        <f>'Feb2025'!D31-COUNTIF(E31:AI31, "SPL")</f>
        <v>0</v>
      </c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6" t="s">
        <v>172</v>
      </c>
      <c r="Z31" s="170"/>
      <c r="AA31" s="170"/>
      <c r="AB31" s="176" t="s">
        <v>172</v>
      </c>
      <c r="AC31" s="176" t="s">
        <v>172</v>
      </c>
      <c r="AD31" s="170"/>
      <c r="AE31" s="170"/>
      <c r="AF31" s="170"/>
      <c r="AG31" s="170"/>
      <c r="AH31" s="170"/>
      <c r="AI31" s="170" t="s">
        <v>173</v>
      </c>
      <c r="AJ31">
        <f t="shared" si="0"/>
        <v>1</v>
      </c>
    </row>
    <row r="32" spans="1:36" ht="18.75" customHeight="1" x14ac:dyDescent="0.2">
      <c r="A32" s="141" t="s">
        <v>148</v>
      </c>
      <c r="B32" s="139">
        <f>'Feb2025'!B32+1.25- (COUNTIF(E32:AI32, "VL") * 1) - (COUNTIF(E32:AI32, "HDL") * 0.5)</f>
        <v>2.25</v>
      </c>
      <c r="C32" s="140">
        <f>'Feb2025'!C32-COUNTIF(E32:AI32, "SL")-(COUNTIF(E32:AI32, "HDSL") * 0.5)</f>
        <v>3</v>
      </c>
      <c r="D32" s="174">
        <f>'Feb2025'!D32-COUNTIF(E32:AI32, "SPL")</f>
        <v>0</v>
      </c>
      <c r="E32" s="170"/>
      <c r="F32" s="170"/>
      <c r="G32" s="170"/>
      <c r="H32" s="170"/>
      <c r="I32" s="170"/>
      <c r="J32" s="170" t="s">
        <v>172</v>
      </c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  <c r="AB32" s="170" t="s">
        <v>172</v>
      </c>
      <c r="AC32" s="170"/>
      <c r="AD32" s="170"/>
      <c r="AE32" s="170"/>
      <c r="AF32" s="170"/>
      <c r="AG32" s="170"/>
      <c r="AH32" s="170"/>
      <c r="AI32" s="170" t="s">
        <v>173</v>
      </c>
      <c r="AJ32">
        <f t="shared" si="0"/>
        <v>1</v>
      </c>
    </row>
    <row r="33" spans="1:36" ht="18.75" customHeight="1" x14ac:dyDescent="0.2">
      <c r="A33" s="141" t="s">
        <v>171</v>
      </c>
      <c r="B33" s="139">
        <f>'Feb2025'!B33+1.25- (COUNTIF(E33:AI33, "VL") * 1) - (COUNTIF(E33:AI33, "HDL") * 0.5)</f>
        <v>19.75</v>
      </c>
      <c r="C33" s="140">
        <f>'Feb2025'!C33-COUNTIF(E33:AI33, "SL")-(COUNTIF(E33:AI33, "HDSL") * 0.5)</f>
        <v>4</v>
      </c>
      <c r="D33" s="174">
        <f>'Feb2025'!D33-COUNTIF(E33:AI33, "SPL")</f>
        <v>0</v>
      </c>
      <c r="E33" s="170"/>
      <c r="F33" s="170"/>
      <c r="G33" s="170"/>
      <c r="H33" s="170"/>
      <c r="I33" s="170"/>
      <c r="J33" s="170"/>
      <c r="K33" s="170"/>
      <c r="L33" s="170"/>
      <c r="M33" s="170"/>
      <c r="N33" s="170" t="s">
        <v>173</v>
      </c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A33" s="170"/>
      <c r="AB33" s="170"/>
      <c r="AC33" s="170"/>
      <c r="AD33" s="170"/>
      <c r="AE33" s="170"/>
      <c r="AF33" s="170"/>
      <c r="AG33" s="170"/>
      <c r="AH33" s="170"/>
      <c r="AI33" s="170"/>
      <c r="AJ33">
        <f t="shared" si="0"/>
        <v>1</v>
      </c>
    </row>
    <row r="34" spans="1:36" ht="18.75" customHeight="1" x14ac:dyDescent="0.2">
      <c r="A34" s="125" t="s">
        <v>186</v>
      </c>
      <c r="B34" s="139">
        <f>'Feb2025'!B34+1.25- (COUNTIF(E34:AI34, "VL") * 1) - (COUNTIF(E34:AI34, "HDL") * 0.5)</f>
        <v>7.25</v>
      </c>
      <c r="C34" s="140">
        <f>'Feb2025'!C34-COUNTIF(E34:AI34, "SL")-(COUNTIF(E34:AI34, "HDSL") * 0.5)</f>
        <v>4.5</v>
      </c>
      <c r="D34" s="174">
        <f>'Feb2025'!D34-COUNTIF(E34:AI34, "SPL")</f>
        <v>0</v>
      </c>
      <c r="E34" s="170"/>
      <c r="F34" s="170"/>
      <c r="G34" s="170"/>
      <c r="H34" s="170"/>
      <c r="I34" s="170"/>
      <c r="J34" s="170"/>
      <c r="K34" s="170" t="s">
        <v>172</v>
      </c>
      <c r="L34" s="170"/>
      <c r="M34" s="170"/>
      <c r="N34" s="170" t="s">
        <v>172</v>
      </c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A34" s="170"/>
      <c r="AB34" s="170"/>
      <c r="AC34" s="170"/>
      <c r="AD34" s="170"/>
      <c r="AE34" s="170"/>
      <c r="AF34" s="170"/>
      <c r="AG34" s="170"/>
      <c r="AH34" s="170"/>
      <c r="AI34" s="170"/>
      <c r="AJ34">
        <f t="shared" si="0"/>
        <v>0</v>
      </c>
    </row>
    <row r="35" spans="1:36" s="155" customFormat="1" ht="17.25" customHeight="1" x14ac:dyDescent="0.2">
      <c r="A35" s="153" t="s">
        <v>188</v>
      </c>
      <c r="B35" s="139">
        <f>'Feb2025'!B35+1.25- (COUNTIF(E35:AI35, "VL") * 1) - (COUNTIF(E35:AI35, "HDL") * 0.5)</f>
        <v>3.75</v>
      </c>
      <c r="C35" s="140">
        <f>'Feb2025'!C35-COUNTIF(E35:AI35, "SL")-(COUNTIF(E35:AI35, "HDSL") * 0.5)</f>
        <v>0.5</v>
      </c>
      <c r="D35" s="174">
        <f>'Feb2025'!D35-COUNTIF(E35:AI35, "SPL")</f>
        <v>0</v>
      </c>
      <c r="E35" s="170"/>
      <c r="F35" s="170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  <c r="AB35" s="170"/>
      <c r="AC35" s="170"/>
      <c r="AD35" s="170"/>
      <c r="AE35" s="170"/>
      <c r="AF35" s="170"/>
      <c r="AG35" s="170"/>
      <c r="AH35" s="170"/>
      <c r="AI35" s="170" t="s">
        <v>172</v>
      </c>
      <c r="AJ35">
        <f t="shared" si="0"/>
        <v>0</v>
      </c>
    </row>
    <row r="36" spans="1:36" ht="18.75" customHeight="1" x14ac:dyDescent="0.2">
      <c r="A36" s="141" t="s">
        <v>187</v>
      </c>
      <c r="B36" s="139">
        <f>'Feb2025'!B36+1.25- (COUNTIF(E36:AI36, "VL") * 1) - (COUNTIF(E36:AI36, "HDL") * 0.5)</f>
        <v>7.25</v>
      </c>
      <c r="C36" s="140">
        <f>'Feb2025'!C36-COUNTIF(E36:AI36, "SL")-(COUNTIF(E36:AI36, "HDSL") * 0.5)</f>
        <v>3</v>
      </c>
      <c r="D36" s="174">
        <f>'Feb2025'!D36-COUNTIF(E36:AI36, "SPL")</f>
        <v>0</v>
      </c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 t="s">
        <v>173</v>
      </c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  <c r="AA36" s="170"/>
      <c r="AB36" s="170"/>
      <c r="AC36" s="170"/>
      <c r="AD36" s="170"/>
      <c r="AE36" s="170"/>
      <c r="AF36" s="170"/>
      <c r="AG36" s="170"/>
      <c r="AH36" s="170"/>
      <c r="AI36" s="170"/>
      <c r="AJ36">
        <f t="shared" si="0"/>
        <v>1</v>
      </c>
    </row>
    <row r="37" spans="1:36" ht="18.75" customHeight="1" x14ac:dyDescent="0.2">
      <c r="A37" s="153" t="s">
        <v>219</v>
      </c>
      <c r="B37" s="139">
        <f>'Feb2025'!B37+1.25- (COUNTIF(E37:AI37, "VL") * 1) - (COUNTIF(E37:AI37, "HDL") * 0.5)</f>
        <v>12</v>
      </c>
      <c r="C37" s="140">
        <f>'Feb2025'!C37-COUNTIF(E37:AI37, "SL")-(COUNTIF(E37:AI37, "HDSL") * 0.5)</f>
        <v>7.4999999999999964</v>
      </c>
      <c r="D37" s="174">
        <f>'Feb2025'!D37-COUNTIF(E37:AI37, "SPL")</f>
        <v>0</v>
      </c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  <c r="AA37" s="170"/>
      <c r="AB37" s="170"/>
      <c r="AC37" s="170"/>
      <c r="AD37" s="170"/>
      <c r="AE37" s="170"/>
      <c r="AF37" s="170"/>
      <c r="AG37" s="170"/>
      <c r="AH37" s="170"/>
      <c r="AI37" s="170"/>
      <c r="AJ37">
        <f t="shared" si="0"/>
        <v>0</v>
      </c>
    </row>
    <row r="38" spans="1:36" ht="18.75" customHeight="1" x14ac:dyDescent="0.2">
      <c r="A38" s="141" t="s">
        <v>154</v>
      </c>
      <c r="B38" s="139">
        <f>'Feb2025'!B38+1.25- (COUNTIF(E38:AI38, "VL") * 1) - (COUNTIF(E38:AI38, "HDL") * 0.5)</f>
        <v>2.75</v>
      </c>
      <c r="C38" s="140">
        <f>'Feb2025'!C38-COUNTIF(E38:AI38, "SL")-(COUNTIF(E38:AI38, "HDSL") * 0.5)</f>
        <v>3</v>
      </c>
      <c r="D38" s="174">
        <f>'Feb2025'!D38-COUNTIF(E38:AI38, "SPL")</f>
        <v>0</v>
      </c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 t="s">
        <v>172</v>
      </c>
      <c r="S38" s="170"/>
      <c r="T38" s="170"/>
      <c r="U38" s="170"/>
      <c r="V38" s="170"/>
      <c r="W38" s="170"/>
      <c r="X38" s="170"/>
      <c r="Y38" s="170"/>
      <c r="Z38" s="170"/>
      <c r="AA38" s="170"/>
      <c r="AB38" s="170"/>
      <c r="AC38" s="170"/>
      <c r="AD38" s="170"/>
      <c r="AE38" s="170"/>
      <c r="AF38" s="170"/>
      <c r="AG38" s="170"/>
      <c r="AH38" s="170"/>
      <c r="AI38" s="170"/>
      <c r="AJ38">
        <f t="shared" si="0"/>
        <v>0</v>
      </c>
    </row>
    <row r="39" spans="1:36" ht="18.75" customHeight="1" x14ac:dyDescent="0.2">
      <c r="A39" s="125" t="s">
        <v>189</v>
      </c>
      <c r="B39" s="139">
        <f>'Feb2025'!B39+1.25- (COUNTIF(E39:AI39, "VL") * 1) - (COUNTIF(E39:AI39, "HDL") * 0.5)</f>
        <v>21.5</v>
      </c>
      <c r="C39" s="140">
        <f>'Feb2025'!C39-COUNTIF(E39:AI39, "SL")-(COUNTIF(E39:AI39, "HDSL") * 0.5)</f>
        <v>2</v>
      </c>
      <c r="D39" s="174">
        <f>'Feb2025'!D39-COUNTIF(E39:AI39, "SPL")</f>
        <v>0</v>
      </c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75" t="s">
        <v>173</v>
      </c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  <c r="AA39" s="175"/>
      <c r="AB39" s="175"/>
      <c r="AC39" s="175"/>
      <c r="AD39" s="175"/>
      <c r="AE39" s="175"/>
      <c r="AF39" s="175"/>
      <c r="AG39" s="175"/>
      <c r="AH39" s="175"/>
      <c r="AI39" s="175"/>
      <c r="AJ39">
        <f t="shared" si="0"/>
        <v>1</v>
      </c>
    </row>
    <row r="40" spans="1:36" ht="18.75" customHeight="1" x14ac:dyDescent="0.2">
      <c r="A40" s="141" t="s">
        <v>155</v>
      </c>
      <c r="B40" s="139">
        <f>'Feb2025'!B40+1.25- (COUNTIF(E40:AI40, "VL") * 1) - (COUNTIF(E40:AI40, "HDL") * 0.5)</f>
        <v>0.5</v>
      </c>
      <c r="C40" s="140">
        <f>'Feb2025'!C40-COUNTIF(E40:AI40, "SL")-(COUNTIF(E40:AI40, "HDSL") * 0.5)</f>
        <v>4</v>
      </c>
      <c r="D40" s="174">
        <f>'Feb2025'!D40-COUNTIF(E40:AI40, "SPL")</f>
        <v>0</v>
      </c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 t="s">
        <v>172</v>
      </c>
      <c r="U40" s="162" t="s">
        <v>172</v>
      </c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>
        <f t="shared" si="0"/>
        <v>0</v>
      </c>
    </row>
    <row r="41" spans="1:36" ht="18.75" customHeight="1" x14ac:dyDescent="0.2">
      <c r="A41" s="141" t="s">
        <v>224</v>
      </c>
      <c r="B41" s="139">
        <f>'Feb2025'!B41+1.25- (COUNTIF(E41:AI41, "VL") * 1) - (COUNTIF(E41:AI41, "HDL") * 0.5)</f>
        <v>7.75</v>
      </c>
      <c r="C41" s="140">
        <f>'Feb2025'!C41+0.416666666666666-COUNTIF(E41:AI41, "SL")-(COUNTIF(E41:AI41, "HDSL") * 0.5)</f>
        <v>2.9126666666666661</v>
      </c>
      <c r="D41" s="174">
        <f>'Feb2025'!D42-COUNTIF(E41:AI41, "SPL")</f>
        <v>0</v>
      </c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 t="s">
        <v>172</v>
      </c>
      <c r="AJ41">
        <f t="shared" si="0"/>
        <v>0</v>
      </c>
    </row>
    <row r="42" spans="1:36" ht="18.75" customHeight="1" x14ac:dyDescent="0.2">
      <c r="A42" s="141" t="s">
        <v>166</v>
      </c>
      <c r="B42" s="139">
        <f>'Feb2025'!B42+1.25- (COUNTIF(E42:AI42, "VL") * 1) - (COUNTIF(E42:AI42, "HDL") * 0.5)</f>
        <v>3</v>
      </c>
      <c r="C42" s="140">
        <f>'Feb2025'!C42-COUNTIF(E42:AI42, "SL")-(COUNTIF(E42:AI42, "HDSL") * 0.5)</f>
        <v>2</v>
      </c>
      <c r="D42" s="174">
        <f>'Feb2025'!D41-COUNTIF(E42:AI42, "SPL")</f>
        <v>0</v>
      </c>
      <c r="E42" s="162"/>
      <c r="F42" s="162"/>
      <c r="G42" s="162" t="s">
        <v>173</v>
      </c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 t="s">
        <v>173</v>
      </c>
      <c r="V42" s="162"/>
      <c r="W42" s="162"/>
      <c r="X42" s="162"/>
      <c r="Y42" s="162" t="s">
        <v>172</v>
      </c>
      <c r="Z42" s="162"/>
      <c r="AA42" s="162"/>
      <c r="AB42" s="162" t="s">
        <v>172</v>
      </c>
      <c r="AC42" s="162" t="s">
        <v>172</v>
      </c>
      <c r="AD42" s="162" t="s">
        <v>172</v>
      </c>
      <c r="AE42" s="162"/>
      <c r="AF42" s="162"/>
      <c r="AG42" s="162"/>
      <c r="AH42" s="162"/>
      <c r="AI42" s="162"/>
      <c r="AJ42">
        <f t="shared" si="0"/>
        <v>2</v>
      </c>
    </row>
    <row r="43" spans="1:36" x14ac:dyDescent="0.25">
      <c r="A43" s="133"/>
    </row>
  </sheetData>
  <sheetProtection sheet="1" objects="1" scenario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003E-DC2B-44A5-A57C-B95E0F2624AB}">
  <dimension ref="A1:AJ63"/>
  <sheetViews>
    <sheetView zoomScaleNormal="100" workbookViewId="0">
      <pane xSplit="4" ySplit="1" topLeftCell="E12" activePane="bottomRight" state="frozen"/>
      <selection pane="topRight" activeCell="E1" sqref="E1"/>
      <selection pane="bottomLeft" activeCell="A2" sqref="A2"/>
      <selection pane="bottomRight" activeCell="B36" sqref="B36"/>
    </sheetView>
  </sheetViews>
  <sheetFormatPr defaultRowHeight="12" x14ac:dyDescent="0.2"/>
  <cols>
    <col min="1" max="1" width="42.83203125" customWidth="1"/>
    <col min="2" max="4" width="9.33203125" customWidth="1"/>
    <col min="34" max="34" width="9.5" customWidth="1"/>
  </cols>
  <sheetData>
    <row r="1" spans="1:36" ht="15" x14ac:dyDescent="0.2">
      <c r="A1" s="134" t="s">
        <v>124</v>
      </c>
      <c r="B1" s="136" t="s">
        <v>172</v>
      </c>
      <c r="C1" s="137" t="s">
        <v>173</v>
      </c>
      <c r="D1" s="138" t="s">
        <v>174</v>
      </c>
      <c r="E1" s="135">
        <v>45383</v>
      </c>
      <c r="F1" s="135">
        <v>45384</v>
      </c>
      <c r="G1" s="135">
        <v>45385</v>
      </c>
      <c r="H1" s="135">
        <v>45386</v>
      </c>
      <c r="I1" s="135">
        <v>45387</v>
      </c>
      <c r="J1" s="135">
        <v>45388</v>
      </c>
      <c r="K1" s="135">
        <v>45389</v>
      </c>
      <c r="L1" s="135">
        <v>45390</v>
      </c>
      <c r="M1" s="135">
        <v>45391</v>
      </c>
      <c r="N1" s="135">
        <v>45392</v>
      </c>
      <c r="O1" s="135">
        <v>45393</v>
      </c>
      <c r="P1" s="135">
        <v>45394</v>
      </c>
      <c r="Q1" s="135">
        <v>45395</v>
      </c>
      <c r="R1" s="135">
        <v>45396</v>
      </c>
      <c r="S1" s="135">
        <v>45397</v>
      </c>
      <c r="T1" s="135">
        <v>45398</v>
      </c>
      <c r="U1" s="135">
        <v>45399</v>
      </c>
      <c r="V1" s="135">
        <v>45400</v>
      </c>
      <c r="W1" s="135">
        <v>45401</v>
      </c>
      <c r="X1" s="135">
        <v>45402</v>
      </c>
      <c r="Y1" s="135">
        <v>45403</v>
      </c>
      <c r="Z1" s="135">
        <v>45404</v>
      </c>
      <c r="AA1" s="135">
        <v>45405</v>
      </c>
      <c r="AB1" s="135">
        <v>45406</v>
      </c>
      <c r="AC1" s="135">
        <v>45407</v>
      </c>
      <c r="AD1" s="135">
        <v>45408</v>
      </c>
      <c r="AE1" s="135">
        <v>45409</v>
      </c>
      <c r="AF1" s="135">
        <v>45410</v>
      </c>
      <c r="AG1" s="135">
        <v>45411</v>
      </c>
      <c r="AH1" s="135">
        <v>45412</v>
      </c>
      <c r="AI1" s="135"/>
      <c r="AJ1" t="s">
        <v>218</v>
      </c>
    </row>
    <row r="2" spans="1:36" ht="18" customHeight="1" x14ac:dyDescent="0.2">
      <c r="A2" s="141" t="s">
        <v>158</v>
      </c>
      <c r="B2" s="139">
        <f>'Mar2025 '!B2+1.25- (COUNTIF(E2:AH2, "VL") * 1) - (COUNTIF(E2:AH2, "HDL") * 0.5)</f>
        <v>5</v>
      </c>
      <c r="C2" s="140">
        <f>'Mar2025 '!C2-COUNTIF(E2:AH2, "SL")-(COUNTIF(E2:AH2, "HDSL") * 0.5)</f>
        <v>4</v>
      </c>
      <c r="D2" s="158">
        <f>'Mar2025 '!D2-COUNTIF(E2:AH2, "SPL")</f>
        <v>0</v>
      </c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>
        <f>COUNTIF(E2:AI2,"SL")</f>
        <v>0</v>
      </c>
    </row>
    <row r="3" spans="1:36" ht="15.75" customHeight="1" x14ac:dyDescent="0.2">
      <c r="A3" s="141" t="s">
        <v>160</v>
      </c>
      <c r="B3" s="139">
        <f>'Mar2025 '!B3+1.25- (COUNTIF(E3:AH3, "VL") * 1) - (COUNTIF(E3:AH3, "HDL") * 0.5)</f>
        <v>12</v>
      </c>
      <c r="C3" s="140">
        <f>'Mar2025 '!C3-COUNTIF(E3:AH3, "SL")-(COUNTIF(E3:AH3, "HDSL") * 0.5)</f>
        <v>4</v>
      </c>
      <c r="D3" s="158">
        <f>'Mar2025 '!D3-COUNTIF(E3:AH3, "SPL")</f>
        <v>0</v>
      </c>
      <c r="E3" s="154" t="s">
        <v>172</v>
      </c>
      <c r="F3" s="154"/>
      <c r="G3" s="154"/>
      <c r="H3" s="154"/>
      <c r="I3" s="154"/>
      <c r="J3" s="162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 t="s">
        <v>173</v>
      </c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 t="s">
        <v>172</v>
      </c>
      <c r="AG3" s="154" t="s">
        <v>172</v>
      </c>
      <c r="AH3" s="154"/>
      <c r="AI3" s="154"/>
      <c r="AJ3">
        <f t="shared" ref="AJ3:AJ63" si="0">COUNTIF(E3:AI3,"SL")</f>
        <v>1</v>
      </c>
    </row>
    <row r="4" spans="1:36" ht="19.5" customHeight="1" x14ac:dyDescent="0.2">
      <c r="A4" s="141" t="s">
        <v>149</v>
      </c>
      <c r="B4" s="139">
        <f>'Mar2025 '!B4+1.25- (COUNTIF(E4:AH4, "VL") * 1) - (COUNTIF(E4:AH4, "HDL") * 0.5)</f>
        <v>11.75</v>
      </c>
      <c r="C4" s="140">
        <f>'Mar2025 '!C4-COUNTIF(E4:AH4, "SL")-(COUNTIF(E4:AH4, "HDSL") * 0.5)</f>
        <v>1</v>
      </c>
      <c r="D4" s="158">
        <f>'Mar2025 '!D4-COUNTIF(E4:AH4, "SPL")</f>
        <v>0</v>
      </c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 t="s">
        <v>172</v>
      </c>
      <c r="V4" s="154"/>
      <c r="W4" s="154"/>
      <c r="X4" s="154"/>
      <c r="Y4" s="154"/>
      <c r="Z4" s="154" t="s">
        <v>173</v>
      </c>
      <c r="AA4" s="154"/>
      <c r="AB4" s="154"/>
      <c r="AC4" s="154"/>
      <c r="AD4" s="154"/>
      <c r="AE4" s="154"/>
      <c r="AF4" s="154"/>
      <c r="AG4" s="154"/>
      <c r="AH4" s="154"/>
      <c r="AI4" s="154"/>
      <c r="AJ4">
        <f t="shared" si="0"/>
        <v>1</v>
      </c>
    </row>
    <row r="5" spans="1:36" ht="18.75" customHeight="1" x14ac:dyDescent="0.2">
      <c r="A5" s="141" t="s">
        <v>142</v>
      </c>
      <c r="B5" s="139">
        <f>'Mar2025 '!B5+1.25- (COUNTIF(E5:AH5, "VL") * 1) - (COUNTIF(E5:AH5, "HDL") * 0.5)</f>
        <v>8</v>
      </c>
      <c r="C5" s="140">
        <f>'Mar2025 '!C5-COUNTIF(E5:AH5, "SL")-(COUNTIF(E5:AH5, "HDSL") * 0.5)</f>
        <v>2.5</v>
      </c>
      <c r="D5" s="158">
        <f>'Mar2025 '!D5-COUNTIF(E5:AH5, "SPL")</f>
        <v>0</v>
      </c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  <c r="AJ5">
        <f t="shared" si="0"/>
        <v>0</v>
      </c>
    </row>
    <row r="6" spans="1:36" ht="15.75" customHeight="1" x14ac:dyDescent="0.2">
      <c r="A6" s="141" t="s">
        <v>176</v>
      </c>
      <c r="B6" s="139">
        <f>'Mar2025 '!B6+1.25- (COUNTIF(E6:AH6, "VL") * 1) - (COUNTIF(E6:AH6, "HDL") * 0.5)</f>
        <v>4</v>
      </c>
      <c r="C6" s="140">
        <f>'Mar2025 '!C6-COUNTIF(E6:AH6, "SL")-(COUNTIF(E6:AH6, "HDSL") * 0.5)</f>
        <v>4</v>
      </c>
      <c r="D6" s="158">
        <f>'Mar2025 '!D6-COUNTIF(E6:AH6, "SPL")</f>
        <v>0</v>
      </c>
      <c r="E6" s="163"/>
      <c r="F6" s="163" t="s">
        <v>173</v>
      </c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63"/>
      <c r="AJ6">
        <f t="shared" si="0"/>
        <v>1</v>
      </c>
    </row>
    <row r="7" spans="1:36" ht="17.25" customHeight="1" x14ac:dyDescent="0.2">
      <c r="A7" s="141" t="s">
        <v>177</v>
      </c>
      <c r="B7" s="139">
        <f>'Mar2025 '!B7+1.25- (COUNTIF(E7:AH7, "VL") * 1) - (COUNTIF(E7:AH7, "HDL") * 0.5)</f>
        <v>4.75</v>
      </c>
      <c r="C7" s="140">
        <f>'Mar2025 '!C7-COUNTIF(E7:AH7, "SL")-(COUNTIF(E7:AH7, "HDSL") * 0.5)</f>
        <v>3</v>
      </c>
      <c r="D7" s="158">
        <f>'Mar2025 '!D7-COUNTIF(E7:AH7, "SPL")</f>
        <v>0</v>
      </c>
      <c r="E7" s="163"/>
      <c r="F7" s="164"/>
      <c r="G7" s="164"/>
      <c r="H7" s="164"/>
      <c r="I7" s="164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>
        <f t="shared" si="0"/>
        <v>0</v>
      </c>
    </row>
    <row r="8" spans="1:36" ht="17.25" customHeight="1" x14ac:dyDescent="0.2">
      <c r="A8" s="141" t="s">
        <v>178</v>
      </c>
      <c r="B8" s="139">
        <f>'Mar2025 '!B8+1.25- (COUNTIF(E8:AH8, "VL") * 1) - (COUNTIF(E8:AH8, "HDL") * 0.5)</f>
        <v>3.5</v>
      </c>
      <c r="C8" s="140">
        <f>'Mar2025 '!C8-COUNTIF(E8:AH8, "SL")-(COUNTIF(E8:AH8, "HDSL") * 0.5)</f>
        <v>4</v>
      </c>
      <c r="D8" s="158">
        <f>'Mar2025 '!D8-COUNTIF(E8:AH8, "SPL")</f>
        <v>0</v>
      </c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 t="s">
        <v>173</v>
      </c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F8" s="154"/>
      <c r="AG8" s="154"/>
      <c r="AH8" s="154"/>
      <c r="AI8" s="154"/>
      <c r="AJ8">
        <f t="shared" si="0"/>
        <v>1</v>
      </c>
    </row>
    <row r="9" spans="1:36" ht="17.25" customHeight="1" x14ac:dyDescent="0.2">
      <c r="A9" s="153" t="s">
        <v>332</v>
      </c>
      <c r="B9" s="139">
        <f>1.25*6-(4)- (COUNTIF(E9:AH9, "VL") * 1) - (COUNTIF(E9:AH9, "HDL") * 0.5)</f>
        <v>3.5</v>
      </c>
      <c r="C9" s="140">
        <f>0.416666666666666*6-COUNTIF(E9:AH9, "SL")-(COUNTIF(E9:AH9, "HDSL") * 0.5)</f>
        <v>1.499999999999996</v>
      </c>
      <c r="D9" s="158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 t="s">
        <v>173</v>
      </c>
      <c r="AG9" s="154"/>
      <c r="AH9" s="154"/>
      <c r="AI9" s="154"/>
      <c r="AJ9">
        <f t="shared" si="0"/>
        <v>1</v>
      </c>
    </row>
    <row r="10" spans="1:36" ht="18.75" customHeight="1" x14ac:dyDescent="0.2">
      <c r="A10" s="141" t="s">
        <v>162</v>
      </c>
      <c r="B10" s="139">
        <f>'Mar2025 '!B9+1.25- (COUNTIF(E10:AH10, "VL") * 1) - (COUNTIF(E10:AH10, "HDL") * 0.5)</f>
        <v>9.25</v>
      </c>
      <c r="C10" s="140">
        <f>'Mar2025 '!C9-COUNTIF(E10:AH10, "SL")-(COUNTIF(E10:AH10, "HDSL") * 0.5)</f>
        <v>5</v>
      </c>
      <c r="D10" s="158">
        <f>'Mar2025 '!D9-COUNTIF(E10:AH10, "SPL")</f>
        <v>0</v>
      </c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>
        <f t="shared" si="0"/>
        <v>0</v>
      </c>
    </row>
    <row r="11" spans="1:36" ht="18.75" customHeight="1" x14ac:dyDescent="0.2">
      <c r="A11" s="141" t="s">
        <v>333</v>
      </c>
      <c r="B11" s="139">
        <f>1.25*6- (COUNTIF(E11:AH11, "VL") * 1) - (COUNTIF(E11:AH11, "HDL") * 0.5)</f>
        <v>7.5</v>
      </c>
      <c r="C11" s="140">
        <f>0.416666666666666*6-COUNTIF(E11:AH11, "SL")-(COUNTIF(E11:AH11, "HDSL") * 0.5)</f>
        <v>2.499999999999996</v>
      </c>
      <c r="D11" s="158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>
        <f t="shared" si="0"/>
        <v>0</v>
      </c>
    </row>
    <row r="12" spans="1:36" ht="18.75" customHeight="1" x14ac:dyDescent="0.2">
      <c r="A12" s="141" t="s">
        <v>179</v>
      </c>
      <c r="B12" s="139">
        <f>'Mar2025 '!B10+1.25- (COUNTIF(E12:AH12, "VL") * 1) - (COUNTIF(E12:AH12, "HDL") * 0.5)</f>
        <v>4.5</v>
      </c>
      <c r="C12" s="140">
        <f>'Mar2025 '!C10-COUNTIF(E12:AH12, "SL")-(COUNTIF(E12:AH12, "HDSL") * 0.5)</f>
        <v>4</v>
      </c>
      <c r="D12" s="158">
        <f>'Mar2025 '!D10-COUNTIF(E12:AH12, "SPL")</f>
        <v>0</v>
      </c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 t="s">
        <v>172</v>
      </c>
      <c r="AB12" s="163"/>
      <c r="AC12" s="163"/>
      <c r="AD12" s="163"/>
      <c r="AE12" s="163"/>
      <c r="AF12" s="163"/>
      <c r="AG12" s="163"/>
      <c r="AH12" s="163"/>
      <c r="AI12" s="163"/>
      <c r="AJ12">
        <f t="shared" si="0"/>
        <v>0</v>
      </c>
    </row>
    <row r="13" spans="1:36" ht="18.75" customHeight="1" x14ac:dyDescent="0.2">
      <c r="A13" s="141" t="s">
        <v>151</v>
      </c>
      <c r="B13" s="139">
        <f>'Mar2025 '!B11+1.25- (COUNTIF(E13:AH13, "VL") * 1) - (COUNTIF(E13:AH13, "HDL") * 0.5)</f>
        <v>14.25</v>
      </c>
      <c r="C13" s="140">
        <f>'Mar2025 '!C11-COUNTIF(E13:AH13, "SL")-(COUNTIF(E13:AH13, "HDSL") * 0.5)</f>
        <v>0.5</v>
      </c>
      <c r="D13" s="158">
        <f>'Mar2025 '!D11-COUNTIF(E13:AH13, "SPL")</f>
        <v>4</v>
      </c>
      <c r="E13" s="154"/>
      <c r="F13" s="154"/>
      <c r="G13" s="168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 t="s">
        <v>173</v>
      </c>
      <c r="AA13" s="154"/>
      <c r="AB13" s="154"/>
      <c r="AC13" s="154"/>
      <c r="AD13" s="154"/>
      <c r="AE13" s="154"/>
      <c r="AF13" s="154"/>
      <c r="AG13" s="154"/>
      <c r="AH13" s="154"/>
      <c r="AI13" s="154"/>
      <c r="AJ13">
        <f t="shared" si="0"/>
        <v>1</v>
      </c>
    </row>
    <row r="14" spans="1:36" ht="21.75" customHeight="1" x14ac:dyDescent="0.2">
      <c r="A14" s="141" t="s">
        <v>180</v>
      </c>
      <c r="B14" s="139">
        <f>'Mar2025 '!B12+1.25- (COUNTIF(E14:AH14, "VL") * 1) - (COUNTIF(E14:AH14, "HDL") * 0.5)</f>
        <v>6.5</v>
      </c>
      <c r="C14" s="140">
        <f>'Mar2025 '!C12-COUNTIF(E14:AH14, "SL")-(COUNTIF(E14:AH14, "HDSL") * 0.5)</f>
        <v>5</v>
      </c>
      <c r="D14" s="158">
        <f>'Mar2025 '!D12-COUNTIF(E14:AH14, "SPL")</f>
        <v>0</v>
      </c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>
        <f t="shared" si="0"/>
        <v>0</v>
      </c>
    </row>
    <row r="15" spans="1:36" ht="18" customHeight="1" x14ac:dyDescent="0.2">
      <c r="A15" s="141" t="s">
        <v>181</v>
      </c>
      <c r="B15" s="139">
        <f>'Mar2025 '!B13+1.25- (COUNTIF(E15:AH15, "VL") * 1) - (COUNTIF(E15:AH15, "HDL") * 0.5)</f>
        <v>8.5</v>
      </c>
      <c r="C15" s="140">
        <f>'Mar2025 '!C13-COUNTIF(E15:AH15, "SL")-(COUNTIF(E15:AH15, "HDSL") * 0.5)</f>
        <v>0</v>
      </c>
      <c r="D15" s="158">
        <f>'Mar2025 '!D13-COUNTIF(E15:AH15, "SPL")</f>
        <v>0</v>
      </c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 t="s">
        <v>173</v>
      </c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65"/>
      <c r="AH15" s="165"/>
      <c r="AI15" s="165"/>
      <c r="AJ15">
        <f t="shared" si="0"/>
        <v>1</v>
      </c>
    </row>
    <row r="16" spans="1:36" ht="18" customHeight="1" x14ac:dyDescent="0.2">
      <c r="A16" s="141" t="s">
        <v>221</v>
      </c>
      <c r="B16" s="139">
        <f>'Mar2025 '!B14+1.25- (COUNTIF(E16:AH16, "VL") * 1) - (COUNTIF(E16:AH16, "HDL") * 0.5)</f>
        <v>8</v>
      </c>
      <c r="C16" s="140">
        <f>'Mar2025 '!C14+0.416666666666666-COUNTIF(E16:AH16, "SL")-(COUNTIF(E16:AH16, "HDSL") * 0.5)</f>
        <v>3.328666666666666</v>
      </c>
      <c r="D16" s="158">
        <f>'Mar2025 '!D14-COUNTIF(E16:AH16, "SPL")</f>
        <v>0</v>
      </c>
      <c r="E16" s="154"/>
      <c r="F16" s="154"/>
      <c r="G16" s="154"/>
      <c r="H16" s="154"/>
      <c r="I16" s="227"/>
      <c r="J16" s="154"/>
      <c r="K16" s="154"/>
      <c r="L16" s="154"/>
      <c r="M16" s="154"/>
      <c r="N16" s="154"/>
      <c r="O16" s="154"/>
      <c r="P16" s="154"/>
      <c r="Q16" s="154"/>
      <c r="R16" s="154"/>
      <c r="S16" s="154" t="s">
        <v>172</v>
      </c>
      <c r="T16" s="154" t="s">
        <v>172</v>
      </c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86"/>
      <c r="AG16" s="181"/>
      <c r="AH16" s="181"/>
      <c r="AI16" s="181"/>
      <c r="AJ16">
        <f t="shared" si="0"/>
        <v>0</v>
      </c>
    </row>
    <row r="17" spans="1:36" ht="19.5" customHeight="1" x14ac:dyDescent="0.2">
      <c r="A17" s="141" t="s">
        <v>152</v>
      </c>
      <c r="B17" s="139">
        <f>'Mar2025 '!B15+1.25- (COUNTIF(E17:AH17, "VL") * 1) - (COUNTIF(E17:AH17, "HDL") * 0.5)</f>
        <v>9.125</v>
      </c>
      <c r="C17" s="140">
        <f>'Mar2025 '!C15-COUNTIF(E17:AH17, "SL")-(COUNTIF(E17:AH17, "HDSL") * 0.5)</f>
        <v>3</v>
      </c>
      <c r="D17" s="158">
        <f>'Mar2025 '!D15-COUNTIF(E17:AH17, "SPL")</f>
        <v>0</v>
      </c>
      <c r="E17" s="154"/>
      <c r="F17" s="162"/>
      <c r="G17" s="162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 t="s">
        <v>182</v>
      </c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87"/>
      <c r="AH17" s="187"/>
      <c r="AI17" s="187"/>
      <c r="AJ17">
        <f t="shared" si="0"/>
        <v>0</v>
      </c>
    </row>
    <row r="18" spans="1:36" ht="18.75" customHeight="1" x14ac:dyDescent="0.2">
      <c r="A18" s="141" t="s">
        <v>170</v>
      </c>
      <c r="B18" s="139">
        <f>'Mar2025 '!B16+1.25- (COUNTIF(E18:AH18, "VL") * 1) - (COUNTIF(E18:AH18, "HDL") * 0.5)</f>
        <v>8</v>
      </c>
      <c r="C18" s="140">
        <f>'Mar2025 '!C16-COUNTIF(E18:AH18, "SL")-(COUNTIF(E18:AH18, "HDSL") * 0.5)</f>
        <v>1</v>
      </c>
      <c r="D18" s="158">
        <f>'Mar2025 '!D16-COUNTIF(E18:AH18, "SPL")</f>
        <v>0</v>
      </c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 t="s">
        <v>173</v>
      </c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 t="s">
        <v>172</v>
      </c>
      <c r="AA18" s="154"/>
      <c r="AB18" s="154"/>
      <c r="AC18" s="154"/>
      <c r="AD18" s="154"/>
      <c r="AE18" s="154"/>
      <c r="AF18" s="154"/>
      <c r="AG18" s="154"/>
      <c r="AH18" s="154"/>
      <c r="AI18" s="154"/>
      <c r="AJ18">
        <f t="shared" si="0"/>
        <v>1</v>
      </c>
    </row>
    <row r="19" spans="1:36" ht="15.75" customHeight="1" x14ac:dyDescent="0.2">
      <c r="A19" s="141" t="s">
        <v>334</v>
      </c>
      <c r="B19" s="139">
        <f>1.25*6- (COUNTIF(E19:AH19, "VL") * 1) - (COUNTIF(E19:AH19, "HDL") * 0.5)</f>
        <v>7.5</v>
      </c>
      <c r="C19" s="140">
        <f>0.416666666666666*6-COUNTIF(E19:AH19, "SL")-(COUNTIF(E19:AH19, "HDSL") * 0.5)</f>
        <v>1.499999999999996</v>
      </c>
      <c r="D19" s="158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  <c r="AE19" s="154" t="s">
        <v>173</v>
      </c>
      <c r="AF19" s="154"/>
      <c r="AG19" s="154"/>
      <c r="AH19" s="154"/>
      <c r="AI19" s="154"/>
      <c r="AJ19">
        <f t="shared" si="0"/>
        <v>1</v>
      </c>
    </row>
    <row r="20" spans="1:36" ht="18" customHeight="1" x14ac:dyDescent="0.2">
      <c r="A20" s="141" t="s">
        <v>145</v>
      </c>
      <c r="B20" s="139">
        <f>'Mar2025 '!B17+1.25- (COUNTIF(E20:AH20, "VL") * 1) - (COUNTIF(E20:AH20, "HDL") * 0.5)</f>
        <v>0.75</v>
      </c>
      <c r="C20" s="140">
        <f>'Mar2025 '!C17-COUNTIF(E20:AH20, "SL")-(COUNTIF(E20:AH20, "HDSL") * 0.5)</f>
        <v>1</v>
      </c>
      <c r="D20" s="158">
        <f>'Mar2025 '!D17-COUNTIF(E20:AH20, "SPL")</f>
        <v>0</v>
      </c>
      <c r="E20" s="154"/>
      <c r="F20" s="154"/>
      <c r="G20" s="154"/>
      <c r="H20" s="154" t="s">
        <v>172</v>
      </c>
      <c r="I20" s="154"/>
      <c r="J20" s="154"/>
      <c r="K20" s="154" t="s">
        <v>172</v>
      </c>
      <c r="L20" s="154"/>
      <c r="M20" s="154"/>
      <c r="N20" s="154"/>
      <c r="O20" s="154" t="s">
        <v>172</v>
      </c>
      <c r="P20" s="154"/>
      <c r="Q20" s="154"/>
      <c r="R20" s="154"/>
      <c r="S20" s="154"/>
      <c r="T20" s="154" t="s">
        <v>172</v>
      </c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  <c r="AH20" s="154"/>
      <c r="AI20" s="154"/>
      <c r="AJ20">
        <f t="shared" si="0"/>
        <v>0</v>
      </c>
    </row>
    <row r="21" spans="1:36" ht="16.5" customHeight="1" x14ac:dyDescent="0.2">
      <c r="A21" s="141" t="s">
        <v>150</v>
      </c>
      <c r="B21" s="139">
        <f>'Mar2025 '!B19+1.25- (COUNTIF(E21:AH21, "VL") * 1) - (COUNTIF(E21:AH21, "HDL") * 0.5)</f>
        <v>7.25</v>
      </c>
      <c r="C21" s="140">
        <f>'Mar2025 '!C19-COUNTIF(E21:AH21, "SL")-(COUNTIF(E21:AH21, "HDSL") * 0.5)</f>
        <v>0</v>
      </c>
      <c r="D21" s="158">
        <f>'Mar2025 '!D19-COUNTIF(E21:AH21, "SPL")</f>
        <v>0</v>
      </c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 t="s">
        <v>172</v>
      </c>
      <c r="T21" s="154" t="s">
        <v>172</v>
      </c>
      <c r="U21" s="154" t="s">
        <v>172</v>
      </c>
      <c r="V21" s="154"/>
      <c r="W21" s="154"/>
      <c r="X21" s="154"/>
      <c r="Y21" s="154"/>
      <c r="Z21" s="154"/>
      <c r="AA21" s="154" t="s">
        <v>173</v>
      </c>
      <c r="AB21" s="154" t="s">
        <v>173</v>
      </c>
      <c r="AC21" s="154"/>
      <c r="AD21" s="154"/>
      <c r="AE21" s="154"/>
      <c r="AF21" s="154"/>
      <c r="AG21" s="154"/>
      <c r="AH21" s="154"/>
      <c r="AI21" s="154"/>
      <c r="AJ21">
        <f t="shared" si="0"/>
        <v>2</v>
      </c>
    </row>
    <row r="22" spans="1:36" ht="16.5" customHeight="1" x14ac:dyDescent="0.2">
      <c r="A22" s="141" t="s">
        <v>147</v>
      </c>
      <c r="B22" s="139">
        <f>'Mar2025 '!B20+1.25- (COUNTIF(E22:AH22, "VL") * 1) - (COUNTIF(E22:AH22, "HDL") * 0.5)</f>
        <v>8.5</v>
      </c>
      <c r="C22" s="140">
        <f>'Mar2025 '!C20-COUNTIF(E22:AH22, "SL")-(COUNTIF(E22:AH22, "HDSL") * 0.5)</f>
        <v>5</v>
      </c>
      <c r="D22" s="158">
        <f>'Mar2025 '!D20-COUNTIF(E22:AH22, "SPL")</f>
        <v>0</v>
      </c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 t="s">
        <v>172</v>
      </c>
      <c r="AA22" s="154" t="s">
        <v>172</v>
      </c>
      <c r="AB22" s="154" t="s">
        <v>172</v>
      </c>
      <c r="AC22" s="154"/>
      <c r="AD22" s="154"/>
      <c r="AE22" s="154"/>
      <c r="AF22" s="154"/>
      <c r="AG22" s="154"/>
      <c r="AH22" s="154"/>
      <c r="AI22" s="154"/>
      <c r="AJ22">
        <f t="shared" si="0"/>
        <v>0</v>
      </c>
    </row>
    <row r="23" spans="1:36" ht="16.5" customHeight="1" x14ac:dyDescent="0.2">
      <c r="A23" s="141" t="s">
        <v>168</v>
      </c>
      <c r="B23" s="139">
        <f>'Mar2025 '!B21+1.25- (COUNTIF(E23:AH23, "VL") * 1) - (COUNTIF(E23:AH23, "HDL") * 0.5)</f>
        <v>4</v>
      </c>
      <c r="C23" s="140">
        <f>'Mar2025 '!C21-COUNTIF(E23:AH23, "SL")-(COUNTIF(E23:AH23, "HDSL") * 0.5)</f>
        <v>1.5</v>
      </c>
      <c r="D23" s="158">
        <f>'Mar2025 '!D21-COUNTIF(E23:AH23, "SPL")</f>
        <v>0</v>
      </c>
      <c r="E23" s="170" t="s">
        <v>172</v>
      </c>
      <c r="F23" s="170" t="s">
        <v>172</v>
      </c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 t="s">
        <v>172</v>
      </c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 t="s">
        <v>172</v>
      </c>
      <c r="AG23" s="154"/>
      <c r="AH23" s="154"/>
      <c r="AI23" s="154"/>
      <c r="AJ23">
        <f t="shared" si="0"/>
        <v>0</v>
      </c>
    </row>
    <row r="24" spans="1:36" ht="16.5" customHeight="1" x14ac:dyDescent="0.2">
      <c r="A24" s="141" t="s">
        <v>156</v>
      </c>
      <c r="B24" s="139">
        <f>'Mar2025 '!B22+1.25- (COUNTIF(E24:AH24, "VL") * 1) - (COUNTIF(E24:AH24, "HDL") * 0.5)</f>
        <v>2.75</v>
      </c>
      <c r="C24" s="140">
        <f>'Mar2025 '!C22-COUNTIF(E24:AH24, "SL")-(COUNTIF(E24:AH24, "HDSL") * 0.5)</f>
        <v>2</v>
      </c>
      <c r="D24" s="158">
        <f>'Mar2025 '!D22-COUNTIF(E24:AH24, "SPL")</f>
        <v>0</v>
      </c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 t="s">
        <v>173</v>
      </c>
      <c r="V24" s="154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>
        <f t="shared" si="0"/>
        <v>1</v>
      </c>
    </row>
    <row r="25" spans="1:36" ht="16.5" customHeight="1" x14ac:dyDescent="0.2">
      <c r="A25" s="125" t="s">
        <v>183</v>
      </c>
      <c r="B25" s="139">
        <f>'Mar2025 '!B23+1.25- (COUNTIF(E25:AH25, "VL") * 1) - (COUNTIF(E25:AH25, "HDL") * 0.5)</f>
        <v>2</v>
      </c>
      <c r="C25" s="140">
        <f>'Mar2025 '!C23-COUNTIF(E25:AH25, "SL")-(COUNTIF(E25:AH25, "HDSL") * 0.5)</f>
        <v>3</v>
      </c>
      <c r="D25" s="158">
        <f>'Mar2025 '!D23-COUNTIF(E25:AH25, "SPL")</f>
        <v>4</v>
      </c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 t="s">
        <v>174</v>
      </c>
      <c r="AA25" s="154" t="s">
        <v>172</v>
      </c>
      <c r="AB25" s="154" t="s">
        <v>172</v>
      </c>
      <c r="AC25" s="154"/>
      <c r="AD25" s="154"/>
      <c r="AE25" s="154"/>
      <c r="AF25" s="154"/>
      <c r="AG25" s="154"/>
      <c r="AH25" s="154" t="s">
        <v>172</v>
      </c>
      <c r="AI25" s="154"/>
      <c r="AJ25">
        <f t="shared" si="0"/>
        <v>0</v>
      </c>
    </row>
    <row r="26" spans="1:36" ht="16.5" customHeight="1" x14ac:dyDescent="0.2">
      <c r="A26" s="153" t="s">
        <v>146</v>
      </c>
      <c r="B26" s="139">
        <f>'Mar2025 '!B24+1.25- (COUNTIF(E26:AH26, "VL") * 1) - (COUNTIF(E26:AH26, "HDL") * 0.5)</f>
        <v>6</v>
      </c>
      <c r="C26" s="140">
        <f>'Mar2025 '!C24-COUNTIF(E26:AH26, "SL")-(COUNTIF(E26:AH26, "HDSL") * 0.5)</f>
        <v>1</v>
      </c>
      <c r="D26" s="158">
        <f>'Mar2025 '!D24-COUNTIF(E26:AH26, "SPL")</f>
        <v>0</v>
      </c>
      <c r="E26" s="170" t="s">
        <v>173</v>
      </c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  <c r="AF26" s="154"/>
      <c r="AG26" s="154"/>
      <c r="AH26" s="154"/>
      <c r="AI26" s="154"/>
      <c r="AJ26">
        <f t="shared" si="0"/>
        <v>1</v>
      </c>
    </row>
    <row r="27" spans="1:36" ht="16.5" customHeight="1" x14ac:dyDescent="0.2">
      <c r="A27" s="125" t="s">
        <v>184</v>
      </c>
      <c r="B27" s="139">
        <f>'Mar2025 '!B25+1.25- (COUNTIF(E27:AH27, "VL") * 1) - (COUNTIF(E27:AH27, "HDL") * 0.5)</f>
        <v>5.5</v>
      </c>
      <c r="C27" s="140">
        <f>'Mar2025 '!C25-COUNTIF(E27:AH27, "SL")-(COUNTIF(E27:AH27, "HDSL") * 0.5)</f>
        <v>0</v>
      </c>
      <c r="D27" s="158">
        <f>'Mar2025 '!D25-COUNTIF(E27:AH27, "SPL")</f>
        <v>0</v>
      </c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 t="s">
        <v>172</v>
      </c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154"/>
      <c r="AG27" s="154"/>
      <c r="AH27" s="154"/>
      <c r="AI27" s="154"/>
      <c r="AJ27">
        <f t="shared" si="0"/>
        <v>0</v>
      </c>
    </row>
    <row r="28" spans="1:36" ht="16.5" customHeight="1" x14ac:dyDescent="0.2">
      <c r="A28" s="195" t="s">
        <v>335</v>
      </c>
      <c r="B28" s="139">
        <f>1.25*6- (COUNTIF(E28:AH28, "VL") * 1) - (COUNTIF(E28:AH28, "HDL") * 0.5)</f>
        <v>7.5</v>
      </c>
      <c r="C28" s="140">
        <f>0.416666666666666*6-COUNTIF(E28:AH28, "SL")-(COUNTIF(E28:AH28, "HDSL") * 0.5)</f>
        <v>2.499999999999996</v>
      </c>
      <c r="D28" s="158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4"/>
      <c r="AG28" s="154"/>
      <c r="AH28" s="154"/>
      <c r="AI28" s="154"/>
      <c r="AJ28">
        <f t="shared" si="0"/>
        <v>0</v>
      </c>
    </row>
    <row r="29" spans="1:36" ht="16.5" customHeight="1" x14ac:dyDescent="0.2">
      <c r="A29" s="195" t="s">
        <v>336</v>
      </c>
      <c r="B29" s="139">
        <f>1.25*6- (COUNTIF(E29:AH29, "VL") * 1) - (COUNTIF(E29:AH29, "HDL") * 0.5)</f>
        <v>6.5</v>
      </c>
      <c r="C29" s="140">
        <f>0.416666666666666*6-COUNTIF(E29:AH29, "SL")-(COUNTIF(E29:AH29, "HDSL") * 0.5)</f>
        <v>1.499999999999996</v>
      </c>
      <c r="D29" s="158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 t="s">
        <v>173</v>
      </c>
      <c r="AC29" s="154"/>
      <c r="AD29" s="154"/>
      <c r="AE29" s="154"/>
      <c r="AF29" s="154" t="s">
        <v>172</v>
      </c>
      <c r="AG29" s="154"/>
      <c r="AH29" s="154"/>
      <c r="AI29" s="154"/>
      <c r="AJ29">
        <f t="shared" si="0"/>
        <v>1</v>
      </c>
    </row>
    <row r="30" spans="1:36" ht="16.5" customHeight="1" x14ac:dyDescent="0.2">
      <c r="A30" s="141" t="s">
        <v>157</v>
      </c>
      <c r="B30" s="139">
        <f>'Mar2025 '!B26+1.25- (COUNTIF(E30:AH30, "VL") * 1) - (COUNTIF(E30:AH30, "HDL") * 0.5)</f>
        <v>8.25</v>
      </c>
      <c r="C30" s="140">
        <f>'Mar2025 '!C26-COUNTIF(E30:AH30, "SL")-(COUNTIF(E30:AH30, "HDSL") * 0.5)</f>
        <v>2</v>
      </c>
      <c r="D30" s="158">
        <f>'Mar2025 '!D26-COUNTIF(E30:AH30, "SPL")</f>
        <v>0</v>
      </c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 t="s">
        <v>337</v>
      </c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  <c r="AF30" s="154"/>
      <c r="AG30" s="154"/>
      <c r="AH30" s="154"/>
      <c r="AI30" s="154"/>
      <c r="AJ30">
        <f t="shared" si="0"/>
        <v>0</v>
      </c>
    </row>
    <row r="31" spans="1:36" ht="16.5" customHeight="1" x14ac:dyDescent="0.2">
      <c r="A31" s="141" t="s">
        <v>161</v>
      </c>
      <c r="B31" s="139">
        <f>'Mar2025 '!B27+1.25- (COUNTIF(E31:AH31, "VL") * 1) - (COUNTIF(E31:AH31, "HDL") * 0.5)</f>
        <v>1.5</v>
      </c>
      <c r="C31" s="140">
        <f>'Mar2025 '!C27-COUNTIF(E31:AH31, "SL")-(COUNTIF(E31:AH31, "HDSL") * 0.5)</f>
        <v>0</v>
      </c>
      <c r="D31" s="158">
        <f>'Mar2025 '!D27-COUNTIF(E31:AH31, "SPL")</f>
        <v>0</v>
      </c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 t="s">
        <v>172</v>
      </c>
      <c r="AG31" s="154"/>
      <c r="AH31" s="154"/>
      <c r="AI31" s="154"/>
      <c r="AJ31">
        <f t="shared" si="0"/>
        <v>0</v>
      </c>
    </row>
    <row r="32" spans="1:36" ht="16.5" customHeight="1" x14ac:dyDescent="0.2">
      <c r="A32" s="153" t="s">
        <v>338</v>
      </c>
      <c r="B32" s="139">
        <f>1.25*6- (COUNTIF(E32:AH32, "VL") * 1) - (COUNTIF(E32:AH32, "HDL") * 0.5)</f>
        <v>7.5</v>
      </c>
      <c r="C32" s="140">
        <f>0.416666666666666*6-COUNTIF(E32:AH32, "SL")-(COUNTIF(E32:AH32, "HDSL") * 0.5)</f>
        <v>2.499999999999996</v>
      </c>
      <c r="D32" s="158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>
        <f t="shared" si="0"/>
        <v>0</v>
      </c>
    </row>
    <row r="33" spans="1:36" ht="16.5" customHeight="1" x14ac:dyDescent="0.2">
      <c r="A33" s="141" t="s">
        <v>167</v>
      </c>
      <c r="B33" s="139">
        <f>'Mar2025 '!B28+1.25- (COUNTIF(E33:AH33, "VL") * 1) - (COUNTIF(E33:AH33, "HDL") * 0.5)</f>
        <v>11.25</v>
      </c>
      <c r="C33" s="140">
        <f>'Mar2025 '!C28-COUNTIF(E33:AH33, "SL")-(COUNTIF(E33:AH33, "HDSL") * 0.5)</f>
        <v>3</v>
      </c>
      <c r="D33" s="158">
        <f>'Mar2025 '!D28-COUNTIF(E33:AH33, "SPL")</f>
        <v>0</v>
      </c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4"/>
      <c r="AG33" s="154"/>
      <c r="AH33" s="154"/>
      <c r="AI33" s="154"/>
      <c r="AJ33">
        <f t="shared" si="0"/>
        <v>0</v>
      </c>
    </row>
    <row r="34" spans="1:36" ht="16.5" customHeight="1" x14ac:dyDescent="0.2">
      <c r="A34" s="141" t="s">
        <v>159</v>
      </c>
      <c r="B34" s="139">
        <f>'Mar2025 '!B29+1.25- (COUNTIF(E34:AH34, "VL") * 1) - (COUNTIF(E34:AH34, "HDL") * 0.5)</f>
        <v>7</v>
      </c>
      <c r="C34" s="140">
        <f>'Mar2025 '!C29-COUNTIF(E34:AH34, "SL")-(COUNTIF(E34:AH34, "HDSL") * 0.5)</f>
        <v>3</v>
      </c>
      <c r="D34" s="158">
        <f>'Mar2025 '!D29-COUNTIF(E34:AH34, "SPL")</f>
        <v>0</v>
      </c>
      <c r="E34" s="154"/>
      <c r="F34" s="154"/>
      <c r="G34" s="154"/>
      <c r="H34" s="154"/>
      <c r="I34" s="154"/>
      <c r="J34" s="154"/>
      <c r="K34" s="154" t="s">
        <v>173</v>
      </c>
      <c r="L34" s="154"/>
      <c r="M34" s="154"/>
      <c r="N34" s="154"/>
      <c r="O34" s="154"/>
      <c r="P34" s="154"/>
      <c r="Q34" s="154" t="s">
        <v>172</v>
      </c>
      <c r="R34" s="154" t="s">
        <v>172</v>
      </c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4"/>
      <c r="AH34" s="154"/>
      <c r="AI34" s="154"/>
      <c r="AJ34">
        <f t="shared" si="0"/>
        <v>1</v>
      </c>
    </row>
    <row r="35" spans="1:36" ht="16.5" customHeight="1" x14ac:dyDescent="0.2">
      <c r="A35" s="141" t="s">
        <v>223</v>
      </c>
      <c r="B35" s="139">
        <f>'Mar2025 '!B30+1.25- (COUNTIF(E35:AH35, "VL") * 1) - (COUNTIF(E35:AH35, "HDL") * 0.5)</f>
        <v>8.5</v>
      </c>
      <c r="C35" s="140">
        <f>'Mar2025 '!C30+0.416666666666666-COUNTIF(E35:AH35, "SL")-(COUNTIF(E35:AH35, "HDSL") * 0.5)</f>
        <v>2.3293333333333321</v>
      </c>
      <c r="D35" s="158">
        <f>'Mar2025 '!D30-COUNTIF(E35:AH35, "SPL")</f>
        <v>0</v>
      </c>
      <c r="E35" s="154"/>
      <c r="F35" s="154"/>
      <c r="G35" s="154"/>
      <c r="H35" s="154"/>
      <c r="I35" s="154"/>
      <c r="J35" s="154"/>
      <c r="K35" s="154" t="s">
        <v>172</v>
      </c>
      <c r="L35" s="154"/>
      <c r="M35" s="154"/>
      <c r="N35" s="154"/>
      <c r="O35" s="154" t="s">
        <v>173</v>
      </c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4"/>
      <c r="AJ35">
        <f t="shared" si="0"/>
        <v>1</v>
      </c>
    </row>
    <row r="36" spans="1:36" ht="16.5" customHeight="1" x14ac:dyDescent="0.2">
      <c r="A36" s="141" t="s">
        <v>185</v>
      </c>
      <c r="B36" s="139">
        <f>'Mar2025 '!B31+1.25- (COUNTIF(E36:AH36, "VL") * 1) - (COUNTIF(E36:AH36, "HDL") * 0.5)</f>
        <v>7.5</v>
      </c>
      <c r="C36" s="140">
        <f>'Mar2025 '!C31-COUNTIF(E36:AH36, "SL")-(COUNTIF(E36:AH36, "HDSL") * 0.5)</f>
        <v>3</v>
      </c>
      <c r="D36" s="158">
        <f>'Mar2025 '!D31-COUNTIF(E36:AH36, "SPL")</f>
        <v>0</v>
      </c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4"/>
      <c r="AJ36">
        <f t="shared" si="0"/>
        <v>0</v>
      </c>
    </row>
    <row r="37" spans="1:36" ht="16.5" customHeight="1" x14ac:dyDescent="0.2">
      <c r="A37" s="141" t="s">
        <v>148</v>
      </c>
      <c r="B37" s="139">
        <f>'Mar2025 '!B32+1.25- (COUNTIF(E37:AH37, "VL") * 1) - (COUNTIF(E37:AH37, "HDL") * 0.5)</f>
        <v>3.5</v>
      </c>
      <c r="C37" s="140">
        <f>'Mar2025 '!C32-COUNTIF(E37:AH37, "SL")-(COUNTIF(E37:AH37, "HDSL") * 0.5)</f>
        <v>2.5</v>
      </c>
      <c r="D37" s="158">
        <f>'Mar2025 '!D32-COUNTIF(E37:AH37, "SPL")</f>
        <v>0</v>
      </c>
      <c r="E37" s="154"/>
      <c r="F37" s="154" t="s">
        <v>175</v>
      </c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  <c r="AC37" s="154"/>
      <c r="AD37" s="154"/>
      <c r="AE37" s="154"/>
      <c r="AF37" s="154"/>
      <c r="AG37" s="154"/>
      <c r="AH37" s="154"/>
      <c r="AI37" s="154"/>
      <c r="AJ37">
        <f t="shared" si="0"/>
        <v>0</v>
      </c>
    </row>
    <row r="38" spans="1:36" ht="16.5" customHeight="1" x14ac:dyDescent="0.2">
      <c r="A38" s="141" t="s">
        <v>171</v>
      </c>
      <c r="B38" s="139">
        <f>'Mar2025 '!B33+1.25- (COUNTIF(E38:AH38, "VL") * 1) - (COUNTIF(E38:AH38, "HDL") * 0.5)</f>
        <v>20</v>
      </c>
      <c r="C38" s="140">
        <f>'Mar2025 '!C33-COUNTIF(E38:AH38, "SL")-(COUNTIF(E38:AH38, "HDSL") * 0.5)</f>
        <v>4</v>
      </c>
      <c r="D38" s="158">
        <f>'Mar2025 '!D33-COUNTIF(E38:AH38, "SPL")</f>
        <v>0</v>
      </c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 t="s">
        <v>172</v>
      </c>
      <c r="V38" s="154"/>
      <c r="W38" s="154"/>
      <c r="X38" s="154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154"/>
      <c r="AJ38">
        <f t="shared" si="0"/>
        <v>0</v>
      </c>
    </row>
    <row r="39" spans="1:36" ht="16.5" customHeight="1" x14ac:dyDescent="0.2">
      <c r="A39" s="125" t="s">
        <v>186</v>
      </c>
      <c r="B39" s="139">
        <f>'Mar2025 '!B34+1.25- (COUNTIF(E39:AH39, "VL") * 1) - (COUNTIF(E39:AH39, "HDL") * 0.5)</f>
        <v>7.5</v>
      </c>
      <c r="C39" s="140">
        <f>'Mar2025 '!C34-COUNTIF(E39:AH39, "SL")-(COUNTIF(E39:AH39, "HDSL") * 0.5)</f>
        <v>4.5</v>
      </c>
      <c r="D39" s="158">
        <f>'Mar2025 '!D34-COUNTIF(E39:AH39, "SPL")</f>
        <v>0</v>
      </c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 t="s">
        <v>172</v>
      </c>
      <c r="T39" s="154"/>
      <c r="U39" s="154"/>
      <c r="V39" s="154"/>
      <c r="W39" s="154"/>
      <c r="X39" s="154"/>
      <c r="Y39" s="154"/>
      <c r="Z39" s="154"/>
      <c r="AA39" s="154"/>
      <c r="AB39" s="154"/>
      <c r="AC39" s="154"/>
      <c r="AD39" s="154"/>
      <c r="AE39" s="154"/>
      <c r="AF39" s="154"/>
      <c r="AG39" s="154"/>
      <c r="AH39" s="154"/>
      <c r="AI39" s="154"/>
      <c r="AJ39">
        <f t="shared" si="0"/>
        <v>0</v>
      </c>
    </row>
    <row r="40" spans="1:36" ht="16.5" customHeight="1" x14ac:dyDescent="0.2">
      <c r="A40" s="153" t="s">
        <v>188</v>
      </c>
      <c r="B40" s="139">
        <f>'Mar2025 '!B35+1.25- (COUNTIF(E40:AH40, "VL") * 1) - (COUNTIF(E40:AH40, "HDL") * 0.5)</f>
        <v>3</v>
      </c>
      <c r="C40" s="140">
        <f>'Mar2025 '!C35-COUNTIF(E40:AH40, "SL")-(COUNTIF(E40:AH40, "HDSL") * 0.5)</f>
        <v>0.5</v>
      </c>
      <c r="D40" s="158">
        <f>'Mar2025 '!D35-COUNTIF(E40:AH40, "SPL")</f>
        <v>0</v>
      </c>
      <c r="E40" s="154" t="s">
        <v>172</v>
      </c>
      <c r="F40" s="154"/>
      <c r="G40" s="154"/>
      <c r="H40" s="154"/>
      <c r="I40" s="154"/>
      <c r="J40" s="154"/>
      <c r="K40" s="154"/>
      <c r="L40" s="154"/>
      <c r="M40" s="154" t="s">
        <v>172</v>
      </c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  <c r="AA40" s="154"/>
      <c r="AB40" s="154"/>
      <c r="AC40" s="154"/>
      <c r="AD40" s="154"/>
      <c r="AE40" s="154"/>
      <c r="AF40" s="154"/>
      <c r="AG40" s="154"/>
      <c r="AH40" s="154"/>
      <c r="AI40" s="154"/>
      <c r="AJ40">
        <f t="shared" si="0"/>
        <v>0</v>
      </c>
    </row>
    <row r="41" spans="1:36" ht="16.5" customHeight="1" x14ac:dyDescent="0.2">
      <c r="A41" s="141" t="s">
        <v>187</v>
      </c>
      <c r="B41" s="139">
        <f>'Mar2025 '!B36+1.25- (COUNTIF(E41:AH41, "VL") * 1) - (COUNTIF(E41:AH41, "HDL") * 0.5)</f>
        <v>6.5</v>
      </c>
      <c r="C41" s="140">
        <f>'Mar2025 '!C36-COUNTIF(E41:AH41, "SL")-(COUNTIF(E41:AH41, "HDSL") * 0.5)</f>
        <v>3</v>
      </c>
      <c r="D41" s="158">
        <f>'Mar2025 '!D36-COUNTIF(E41:AH41, "SPL")</f>
        <v>0</v>
      </c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 t="s">
        <v>172</v>
      </c>
      <c r="AB41" s="154" t="s">
        <v>172</v>
      </c>
      <c r="AC41" s="154"/>
      <c r="AD41" s="154"/>
      <c r="AE41" s="154"/>
      <c r="AF41" s="154"/>
      <c r="AG41" s="154"/>
      <c r="AH41" s="154"/>
      <c r="AI41" s="154"/>
      <c r="AJ41">
        <f t="shared" si="0"/>
        <v>0</v>
      </c>
    </row>
    <row r="42" spans="1:36" ht="16.5" customHeight="1" x14ac:dyDescent="0.2">
      <c r="A42" s="141" t="s">
        <v>219</v>
      </c>
      <c r="B42" s="139">
        <f>'Mar2025 '!B37+1.25- (COUNTIF(E42:AH42, "VL") * 1) - (COUNTIF(E42:AH42, "HDL") * 0.5)</f>
        <v>13.25</v>
      </c>
      <c r="C42" s="140">
        <f>'Mar2025 '!C37-COUNTIF(E42:AH42, "SL")-(COUNTIF(E42:AH42, "HDSL") * 0.5)</f>
        <v>7.4999999999999964</v>
      </c>
      <c r="D42" s="158">
        <f>'Mar2025 '!D37-COUNTIF(E42:AH42, "SPL")</f>
        <v>0</v>
      </c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  <c r="AD42" s="165"/>
      <c r="AE42" s="165"/>
      <c r="AF42" s="165"/>
      <c r="AG42" s="165"/>
      <c r="AH42" s="165"/>
      <c r="AI42" s="165"/>
      <c r="AJ42">
        <f t="shared" si="0"/>
        <v>0</v>
      </c>
    </row>
    <row r="43" spans="1:36" ht="14.25" customHeight="1" x14ac:dyDescent="0.2">
      <c r="A43" s="141" t="s">
        <v>154</v>
      </c>
      <c r="B43" s="139">
        <f>'Mar2025 '!B38+1.25- (COUNTIF(E43:AH43, "VL") * 1) - (COUNTIF(E43:AH43, "HDL") * 0.5)</f>
        <v>1</v>
      </c>
      <c r="C43" s="140">
        <f>'Mar2025 '!C38-COUNTIF(E43:AH43, "SL")-(COUNTIF(E43:AH43, "HDSL") * 0.5)</f>
        <v>3</v>
      </c>
      <c r="D43" s="158">
        <f>'Mar2025 '!D38-COUNTIF(E43:AH43, "SPL")</f>
        <v>0</v>
      </c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5" t="s">
        <v>172</v>
      </c>
      <c r="T43" s="165" t="s">
        <v>172</v>
      </c>
      <c r="U43" s="165" t="s">
        <v>172</v>
      </c>
      <c r="V43" s="165"/>
      <c r="W43" s="165"/>
      <c r="X43" s="165"/>
      <c r="Y43" s="165"/>
      <c r="Z43" s="165"/>
      <c r="AA43" s="165"/>
      <c r="AB43" s="165"/>
      <c r="AC43" s="165"/>
      <c r="AD43" s="165"/>
      <c r="AE43" s="165"/>
      <c r="AF43" s="165"/>
      <c r="AG43" s="165"/>
      <c r="AH43" s="165"/>
      <c r="AI43" s="165"/>
      <c r="AJ43">
        <f t="shared" si="0"/>
        <v>0</v>
      </c>
    </row>
    <row r="44" spans="1:36" ht="16.5" customHeight="1" x14ac:dyDescent="0.2">
      <c r="A44" s="125" t="s">
        <v>189</v>
      </c>
      <c r="B44" s="139">
        <f>'Mar2025 '!B39+1.25- (COUNTIF(E44:AH44, "VL") * 1) - (COUNTIF(E44:AH44, "HDL") * 0.5)</f>
        <v>19.75</v>
      </c>
      <c r="C44" s="140">
        <f>'Mar2025 '!C39-COUNTIF(E44:AH44, "SL")-(COUNTIF(E44:AH44, "HDSL") * 0.5)</f>
        <v>2</v>
      </c>
      <c r="D44" s="158">
        <f>'Mar2025 '!D39-COUNTIF(E44:AH44, "SPL")</f>
        <v>0</v>
      </c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 t="s">
        <v>172</v>
      </c>
      <c r="AA44" s="166" t="s">
        <v>172</v>
      </c>
      <c r="AB44" s="166" t="s">
        <v>172</v>
      </c>
      <c r="AC44" s="166"/>
      <c r="AD44" s="166"/>
      <c r="AE44" s="166"/>
      <c r="AF44" s="166"/>
      <c r="AG44" s="166"/>
      <c r="AH44" s="166"/>
      <c r="AI44" s="166"/>
      <c r="AJ44">
        <f t="shared" si="0"/>
        <v>0</v>
      </c>
    </row>
    <row r="45" spans="1:36" ht="16.5" customHeight="1" x14ac:dyDescent="0.2">
      <c r="A45" s="141" t="s">
        <v>155</v>
      </c>
      <c r="B45" s="139">
        <f>'Mar2025 '!B40+1.25- (COUNTIF(E45:AH45, "VL") * 1) - (COUNTIF(E45:AH45, "HDL") * 0.5)</f>
        <v>1.75</v>
      </c>
      <c r="C45" s="140">
        <f>'Mar2025 '!C40-COUNTIF(E45:AH45, "SL")-(COUNTIF(E45:AH45, "HDSL") * 0.5)</f>
        <v>4</v>
      </c>
      <c r="D45" s="158">
        <f>'Mar2025 '!D40-COUNTIF(E45:AH45, "SPL")</f>
        <v>0</v>
      </c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54"/>
      <c r="AE45" s="154"/>
      <c r="AF45" s="154"/>
      <c r="AG45" s="154"/>
      <c r="AH45" s="154"/>
      <c r="AI45" s="154"/>
      <c r="AJ45">
        <f t="shared" si="0"/>
        <v>0</v>
      </c>
    </row>
    <row r="46" spans="1:36" ht="16.5" customHeight="1" x14ac:dyDescent="0.2">
      <c r="A46" s="141" t="s">
        <v>224</v>
      </c>
      <c r="B46" s="139">
        <f>'Mar2025 '!B41+1.25- (COUNTIF(E46:AH46, "VL") * 1) - (COUNTIF(E46:AH46, "HDL") * 0.5)</f>
        <v>8</v>
      </c>
      <c r="C46" s="140">
        <f>'Mar2025 '!C41+0.416666666666666-COUNTIF(E46:AH46, "SL")-(COUNTIF(E46:AH46, "HDSL") * 0.5)</f>
        <v>3.3293333333333321</v>
      </c>
      <c r="D46" s="158">
        <f>'Mar2025 '!D41-COUNTIF(E46:AH46, "SPL")</f>
        <v>0</v>
      </c>
      <c r="E46" s="154" t="s">
        <v>172</v>
      </c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54"/>
      <c r="AE46" s="154"/>
      <c r="AF46" s="154"/>
      <c r="AJ46">
        <f t="shared" si="0"/>
        <v>0</v>
      </c>
    </row>
    <row r="47" spans="1:36" ht="12.75" x14ac:dyDescent="0.2">
      <c r="A47" s="141" t="s">
        <v>166</v>
      </c>
      <c r="B47" s="139">
        <f>'Mar2025 '!B42+1.25- (COUNTIF(E47:AH47, "VL") * 1) - (COUNTIF(E47:AH47, "HDL") * 0.5)</f>
        <v>2.25</v>
      </c>
      <c r="C47" s="140">
        <f>'Mar2025 '!C42-COUNTIF(E47:AH47, "SL")-(COUNTIF(E47:AH47, "HDSL") * 0.5)</f>
        <v>2</v>
      </c>
      <c r="D47" s="158">
        <f>'Mar2025 '!D42-COUNTIF(E47:AH47, "SPL")</f>
        <v>0</v>
      </c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 t="s">
        <v>172</v>
      </c>
      <c r="T47" s="154" t="s">
        <v>172</v>
      </c>
      <c r="U47" s="154"/>
      <c r="V47" s="154"/>
      <c r="W47" s="154"/>
      <c r="X47" s="154"/>
      <c r="Y47" s="154"/>
      <c r="Z47" s="154"/>
      <c r="AA47" s="154"/>
      <c r="AB47" s="154"/>
      <c r="AC47" s="154"/>
      <c r="AD47" s="154"/>
      <c r="AE47" s="154"/>
      <c r="AF47" s="154"/>
      <c r="AG47" s="154"/>
      <c r="AH47" s="154"/>
      <c r="AI47" s="154"/>
      <c r="AJ47">
        <f t="shared" si="0"/>
        <v>0</v>
      </c>
    </row>
    <row r="48" spans="1:36" x14ac:dyDescent="0.2">
      <c r="AJ48">
        <f t="shared" si="0"/>
        <v>0</v>
      </c>
    </row>
    <row r="49" spans="36:36" x14ac:dyDescent="0.2">
      <c r="AJ49">
        <f t="shared" si="0"/>
        <v>0</v>
      </c>
    </row>
    <row r="50" spans="36:36" x14ac:dyDescent="0.2">
      <c r="AJ50">
        <f t="shared" si="0"/>
        <v>0</v>
      </c>
    </row>
    <row r="51" spans="36:36" x14ac:dyDescent="0.2">
      <c r="AJ51">
        <f t="shared" si="0"/>
        <v>0</v>
      </c>
    </row>
    <row r="52" spans="36:36" x14ac:dyDescent="0.2">
      <c r="AJ52">
        <f t="shared" si="0"/>
        <v>0</v>
      </c>
    </row>
    <row r="53" spans="36:36" x14ac:dyDescent="0.2">
      <c r="AJ53">
        <f t="shared" si="0"/>
        <v>0</v>
      </c>
    </row>
    <row r="54" spans="36:36" x14ac:dyDescent="0.2">
      <c r="AJ54">
        <f t="shared" si="0"/>
        <v>0</v>
      </c>
    </row>
    <row r="55" spans="36:36" x14ac:dyDescent="0.2">
      <c r="AJ55">
        <f t="shared" si="0"/>
        <v>0</v>
      </c>
    </row>
    <row r="56" spans="36:36" x14ac:dyDescent="0.2">
      <c r="AJ56">
        <f t="shared" si="0"/>
        <v>0</v>
      </c>
    </row>
    <row r="57" spans="36:36" x14ac:dyDescent="0.2">
      <c r="AJ57">
        <f t="shared" si="0"/>
        <v>0</v>
      </c>
    </row>
    <row r="58" spans="36:36" x14ac:dyDescent="0.2">
      <c r="AJ58">
        <f t="shared" si="0"/>
        <v>0</v>
      </c>
    </row>
    <row r="59" spans="36:36" x14ac:dyDescent="0.2">
      <c r="AJ59">
        <f t="shared" si="0"/>
        <v>0</v>
      </c>
    </row>
    <row r="60" spans="36:36" x14ac:dyDescent="0.2">
      <c r="AJ60">
        <f t="shared" si="0"/>
        <v>0</v>
      </c>
    </row>
    <row r="61" spans="36:36" x14ac:dyDescent="0.2">
      <c r="AJ61">
        <f t="shared" si="0"/>
        <v>0</v>
      </c>
    </row>
    <row r="62" spans="36:36" x14ac:dyDescent="0.2">
      <c r="AJ62">
        <f t="shared" si="0"/>
        <v>0</v>
      </c>
    </row>
    <row r="63" spans="36:36" x14ac:dyDescent="0.2">
      <c r="AJ63">
        <f t="shared" si="0"/>
        <v>0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C5F1-C771-4546-8518-8C4521BFFE2C}">
  <dimension ref="A1:AJ63"/>
  <sheetViews>
    <sheetView zoomScale="130" zoomScaleNormal="130" workbookViewId="0">
      <pane xSplit="4" ySplit="1" topLeftCell="E22" activePane="bottomRight" state="frozen"/>
      <selection pane="topRight" activeCell="E1" sqref="E1"/>
      <selection pane="bottomLeft" activeCell="A2" sqref="A2"/>
      <selection pane="bottomRight" activeCell="B41" sqref="B41"/>
    </sheetView>
  </sheetViews>
  <sheetFormatPr defaultRowHeight="12" x14ac:dyDescent="0.2"/>
  <cols>
    <col min="1" max="1" width="42.83203125" customWidth="1"/>
    <col min="34" max="34" width="9.5" customWidth="1"/>
  </cols>
  <sheetData>
    <row r="1" spans="1:36" ht="15" x14ac:dyDescent="0.2">
      <c r="A1" s="190" t="s">
        <v>124</v>
      </c>
      <c r="B1" s="182" t="s">
        <v>172</v>
      </c>
      <c r="C1" s="183" t="s">
        <v>173</v>
      </c>
      <c r="D1" s="184" t="s">
        <v>174</v>
      </c>
      <c r="E1" s="185">
        <v>45413</v>
      </c>
      <c r="F1" s="185">
        <v>45414</v>
      </c>
      <c r="G1" s="185">
        <v>45415</v>
      </c>
      <c r="H1" s="185">
        <v>45416</v>
      </c>
      <c r="I1" s="185">
        <v>45417</v>
      </c>
      <c r="J1" s="185">
        <v>45418</v>
      </c>
      <c r="K1" s="185">
        <v>45419</v>
      </c>
      <c r="L1" s="185">
        <v>45420</v>
      </c>
      <c r="M1" s="185">
        <v>45421</v>
      </c>
      <c r="N1" s="185">
        <v>45422</v>
      </c>
      <c r="O1" s="185">
        <v>45423</v>
      </c>
      <c r="P1" s="185">
        <v>45424</v>
      </c>
      <c r="Q1" s="185">
        <v>45425</v>
      </c>
      <c r="R1" s="185">
        <v>45426</v>
      </c>
      <c r="S1" s="185">
        <v>45427</v>
      </c>
      <c r="T1" s="185">
        <v>45428</v>
      </c>
      <c r="U1" s="185">
        <v>45429</v>
      </c>
      <c r="V1" s="185">
        <v>45430</v>
      </c>
      <c r="W1" s="185">
        <v>45431</v>
      </c>
      <c r="X1" s="185">
        <v>45432</v>
      </c>
      <c r="Y1" s="185">
        <v>45433</v>
      </c>
      <c r="Z1" s="185">
        <v>45434</v>
      </c>
      <c r="AA1" s="185">
        <v>45435</v>
      </c>
      <c r="AB1" s="185">
        <v>45436</v>
      </c>
      <c r="AC1" s="185">
        <v>45437</v>
      </c>
      <c r="AD1" s="185">
        <v>45438</v>
      </c>
      <c r="AE1" s="185">
        <v>45439</v>
      </c>
      <c r="AF1" s="185">
        <v>45440</v>
      </c>
      <c r="AG1" s="185">
        <v>45441</v>
      </c>
      <c r="AH1" s="185">
        <v>45442</v>
      </c>
      <c r="AI1" s="185">
        <v>45443</v>
      </c>
      <c r="AJ1" t="s">
        <v>218</v>
      </c>
    </row>
    <row r="2" spans="1:36" ht="17.25" customHeight="1" x14ac:dyDescent="0.2">
      <c r="A2" s="191" t="s">
        <v>158</v>
      </c>
      <c r="B2" s="177">
        <f>'Apr2025'!B2+1.25- (COUNTIF(E2:AI2, "VL") * 1) - (COUNTIF(E2:AI2, "HDL") * 0.5)</f>
        <v>4.25</v>
      </c>
      <c r="C2" s="178">
        <f>'Apr2025'!C2-COUNTIF(E2:AI2, "SL")-(COUNTIF(E2:AI2, "HDSL") * 0.5)</f>
        <v>4</v>
      </c>
      <c r="D2" s="179">
        <f>'Apr2025'!D2-COUNTIF(E2:AI2, "SPL")</f>
        <v>0</v>
      </c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 t="s">
        <v>339</v>
      </c>
      <c r="Z2" s="166" t="s">
        <v>172</v>
      </c>
      <c r="AA2" s="166"/>
      <c r="AB2" s="166"/>
      <c r="AC2" s="166"/>
      <c r="AD2" s="166"/>
      <c r="AE2" s="166"/>
      <c r="AF2" s="166"/>
      <c r="AG2" s="166"/>
      <c r="AH2" s="166"/>
      <c r="AI2" s="166"/>
      <c r="AJ2">
        <f>COUNTIF(E2:AI2,"SL")</f>
        <v>0</v>
      </c>
    </row>
    <row r="3" spans="1:36" ht="17.25" customHeight="1" x14ac:dyDescent="0.2">
      <c r="A3" s="191" t="s">
        <v>160</v>
      </c>
      <c r="B3" s="177">
        <f>'Apr2025'!B3+1.25- (COUNTIF(E3:AI3, "VL") * 1) - (COUNTIF(E3:AI3, "HDL") * 0.5)</f>
        <v>13.25</v>
      </c>
      <c r="C3" s="178">
        <f>'Apr2025'!C3-COUNTIF(E3:AI3, "SL")-(COUNTIF(E3:AI3, "HDSL") * 0.5)</f>
        <v>4</v>
      </c>
      <c r="D3" s="179">
        <f>'Apr2025'!D3-COUNTIF(E3:AI3, "SPL")</f>
        <v>0</v>
      </c>
      <c r="E3" s="166"/>
      <c r="F3" s="166"/>
      <c r="G3" s="166"/>
      <c r="H3" s="166"/>
      <c r="I3" s="166"/>
      <c r="J3" s="170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>
        <f t="shared" ref="AJ3:AJ63" si="0">COUNTIF(E3:AI3,"SL")</f>
        <v>0</v>
      </c>
    </row>
    <row r="4" spans="1:36" ht="17.25" customHeight="1" x14ac:dyDescent="0.2">
      <c r="A4" s="191" t="s">
        <v>149</v>
      </c>
      <c r="B4" s="177">
        <f>'Apr2025'!B4+1.25- (COUNTIF(E4:AI4, "VL") * 1) - (COUNTIF(E4:AI4, "HDL") * 0.5)</f>
        <v>13</v>
      </c>
      <c r="C4" s="178">
        <f>'Apr2025'!C4-COUNTIF(E4:AI4, "SL")-(COUNTIF(E4:AI4, "HDSL") * 0.5)</f>
        <v>0</v>
      </c>
      <c r="D4" s="179">
        <f>'Apr2025'!D4-COUNTIF(E4:AI4, "SPL")</f>
        <v>0</v>
      </c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 t="s">
        <v>173</v>
      </c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>
        <f t="shared" si="0"/>
        <v>1</v>
      </c>
    </row>
    <row r="5" spans="1:36" ht="17.25" customHeight="1" x14ac:dyDescent="0.2">
      <c r="A5" s="191" t="s">
        <v>142</v>
      </c>
      <c r="B5" s="177">
        <f>'Apr2025'!B5+1.25- (COUNTIF(E5:AI5, "VL") * 1) - (COUNTIF(E5:AI5, "HDL") * 0.5)</f>
        <v>8.75</v>
      </c>
      <c r="C5" s="178">
        <f>'Apr2025'!C5-COUNTIF(E5:AI5, "SL")-(COUNTIF(E5:AI5, "HDSL") * 0.5)</f>
        <v>2.5</v>
      </c>
      <c r="D5" s="179">
        <f>'Apr2025'!D5-COUNTIF(E5:AI5, "SPL")</f>
        <v>0</v>
      </c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 t="s">
        <v>182</v>
      </c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>
        <f t="shared" si="0"/>
        <v>0</v>
      </c>
    </row>
    <row r="6" spans="1:36" ht="17.25" customHeight="1" x14ac:dyDescent="0.2">
      <c r="A6" s="193" t="s">
        <v>176</v>
      </c>
      <c r="B6" s="177">
        <f>'Apr2025'!B6+1.25- (COUNTIF(E6:AI6, "VL") * 1) - (COUNTIF(E6:AI6, "HDL") * 0.5)</f>
        <v>5.25</v>
      </c>
      <c r="C6" s="178">
        <f>'Apr2025'!C6-COUNTIF(E6:AI6, "SL")-(COUNTIF(E6:AI6, "HDSL") * 0.5)</f>
        <v>4</v>
      </c>
      <c r="D6" s="179">
        <f>'Apr2025'!D6-COUNTIF(E6:AI6, "SPL")</f>
        <v>0</v>
      </c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1"/>
      <c r="AI6" s="171"/>
      <c r="AJ6">
        <f t="shared" si="0"/>
        <v>0</v>
      </c>
    </row>
    <row r="7" spans="1:36" ht="17.25" customHeight="1" x14ac:dyDescent="0.2">
      <c r="A7" s="193" t="s">
        <v>177</v>
      </c>
      <c r="B7" s="177">
        <f>'Apr2025'!B7+1.25- (COUNTIF(E7:AI7, "VL") * 1) - (COUNTIF(E7:AI7, "HDL") * 0.5)</f>
        <v>5</v>
      </c>
      <c r="C7" s="178">
        <f>'Apr2025'!C7-COUNTIF(E7:AI7, "SL")-(COUNTIF(E7:AI7, "HDSL") * 0.5)</f>
        <v>2</v>
      </c>
      <c r="D7" s="179">
        <f>'Apr2025'!D7-COUNTIF(E7:AI7, "SPL")</f>
        <v>0</v>
      </c>
      <c r="E7" s="171"/>
      <c r="F7" s="180"/>
      <c r="G7" s="180"/>
      <c r="H7" s="180"/>
      <c r="I7" s="180" t="s">
        <v>173</v>
      </c>
      <c r="J7" s="171"/>
      <c r="K7" s="171"/>
      <c r="L7" s="171"/>
      <c r="M7" s="171"/>
      <c r="N7" s="171"/>
      <c r="O7" s="171"/>
      <c r="P7" s="171" t="s">
        <v>172</v>
      </c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>
        <f t="shared" si="0"/>
        <v>1</v>
      </c>
    </row>
    <row r="8" spans="1:36" ht="17.25" customHeight="1" x14ac:dyDescent="0.2">
      <c r="A8" s="193" t="s">
        <v>178</v>
      </c>
      <c r="B8" s="177">
        <f>'Apr2025'!B8+1.25- (COUNTIF(E8:AI8, "VL") * 1) - (COUNTIF(E8:AI8, "HDL") * 0.5)</f>
        <v>2.75</v>
      </c>
      <c r="C8" s="178">
        <f>'Apr2025'!C8-COUNTIF(E8:AI8, "SL")-(COUNTIF(E8:AI8, "HDSL") * 0.5)</f>
        <v>4</v>
      </c>
      <c r="D8" s="179">
        <f>'Apr2025'!D8-COUNTIF(E8:AI8, "SPL")</f>
        <v>0</v>
      </c>
      <c r="E8" s="166" t="s">
        <v>172</v>
      </c>
      <c r="F8" s="166"/>
      <c r="G8" s="166"/>
      <c r="H8" s="166"/>
      <c r="I8" s="166"/>
      <c r="J8" s="166"/>
      <c r="K8" s="166"/>
      <c r="L8" s="166" t="s">
        <v>172</v>
      </c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  <c r="AH8" s="166"/>
      <c r="AI8" s="166"/>
      <c r="AJ8">
        <f t="shared" si="0"/>
        <v>0</v>
      </c>
    </row>
    <row r="9" spans="1:36" ht="17.25" customHeight="1" x14ac:dyDescent="0.2">
      <c r="A9" s="193" t="s">
        <v>332</v>
      </c>
      <c r="B9" s="177">
        <f>'Apr2025'!B9+1.25- (COUNTIF(E9:AI9, "VL") * 1) - (COUNTIF(E9:AI9, "HDL") * 0.5)</f>
        <v>4.75</v>
      </c>
      <c r="C9" s="178">
        <f>'Apr2025'!C9+0.416666666666666-COUNTIF(E9:AI9, "SL")-(COUNTIF(E9:AI9, "HDSL") * 0.5)</f>
        <v>1.9166666666666621</v>
      </c>
      <c r="D9" s="179">
        <f>'Apr2025'!D9-COUNTIF(E9:AI9, "SPL")</f>
        <v>0</v>
      </c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166"/>
      <c r="AJ9">
        <f t="shared" si="0"/>
        <v>0</v>
      </c>
    </row>
    <row r="10" spans="1:36" ht="17.25" customHeight="1" x14ac:dyDescent="0.2">
      <c r="A10" s="193" t="s">
        <v>162</v>
      </c>
      <c r="B10" s="177">
        <f>'Apr2025'!B10+1.25- (COUNTIF(E10:AI10, "VL") * 1) - (COUNTIF(E10:AI10, "HDL") * 0.5)</f>
        <v>10.5</v>
      </c>
      <c r="C10" s="178">
        <f>'Apr2025'!C10-COUNTIF(E10:AI10, "SL")-(COUNTIF(E10:AI10, "HDSL") * 0.5)</f>
        <v>5</v>
      </c>
      <c r="D10" s="179">
        <f>'Apr2025'!D10-COUNTIF(E10:AI10, "SPL")</f>
        <v>0</v>
      </c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166"/>
      <c r="AJ10">
        <f t="shared" si="0"/>
        <v>0</v>
      </c>
    </row>
    <row r="11" spans="1:36" ht="17.25" customHeight="1" x14ac:dyDescent="0.2">
      <c r="A11" s="193" t="s">
        <v>333</v>
      </c>
      <c r="B11" s="177">
        <f>'Apr2025'!B11+1.25- (COUNTIF(E11:AI11, "VL") * 1) - (COUNTIF(E11:AI11, "HDL") * 0.5)</f>
        <v>8.75</v>
      </c>
      <c r="C11" s="178">
        <f>'Apr2025'!C11+0.416666666666666-COUNTIF(E11:AI11, "SL")-(COUNTIF(E11:AI11, "HDSL") * 0.5)</f>
        <v>2.9166666666666621</v>
      </c>
      <c r="D11" s="179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>
        <f t="shared" si="0"/>
        <v>0</v>
      </c>
    </row>
    <row r="12" spans="1:36" ht="17.25" customHeight="1" x14ac:dyDescent="0.2">
      <c r="A12" s="193" t="s">
        <v>179</v>
      </c>
      <c r="B12" s="177">
        <f>'Apr2025'!B12+1.25- (COUNTIF(E12:AI12, "VL") * 1) - (COUNTIF(E12:AI12, "HDL") * 0.5)</f>
        <v>5.75</v>
      </c>
      <c r="C12" s="178">
        <f>'Apr2025'!C12-COUNTIF(E12:AI12, "SL")-(COUNTIF(E12:AI12, "HDSL") * 0.5)</f>
        <v>4</v>
      </c>
      <c r="D12" s="179">
        <f>'Apr2025'!D12-COUNTIF(E12:AI12, "SPL")</f>
        <v>0</v>
      </c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>
        <f t="shared" si="0"/>
        <v>0</v>
      </c>
    </row>
    <row r="13" spans="1:36" ht="17.25" customHeight="1" x14ac:dyDescent="0.2">
      <c r="A13" s="193" t="s">
        <v>340</v>
      </c>
      <c r="B13" s="177">
        <f>7.5- (COUNTIF(E13:AI13, "VL") * 1) - (COUNTIF(E13:AI13, "HDL") * 0.5)</f>
        <v>7.5</v>
      </c>
      <c r="C13" s="178">
        <f>'Apr2025'!C11-COUNTIF(E13:AI13, "SL")-(COUNTIF(E13:AI13, "HDSL") * 0.5)</f>
        <v>2.499999999999996</v>
      </c>
      <c r="D13" s="179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  <c r="AE13" s="171"/>
      <c r="AF13" s="171"/>
      <c r="AG13" s="171"/>
      <c r="AH13" s="171"/>
      <c r="AI13" s="171"/>
      <c r="AJ13">
        <f t="shared" si="0"/>
        <v>0</v>
      </c>
    </row>
    <row r="14" spans="1:36" ht="17.25" customHeight="1" x14ac:dyDescent="0.2">
      <c r="A14" s="193" t="s">
        <v>151</v>
      </c>
      <c r="B14" s="177">
        <f>'Apr2025'!B13+1.25- (COUNTIF(E14:AI14, "VL") * 1) - (COUNTIF(E14:AI14, "HDL") * 0.5)</f>
        <v>15.5</v>
      </c>
      <c r="C14" s="178">
        <f>'Apr2025'!C13-COUNTIF(E14:AI14, "SL")-(COUNTIF(E14:AI14, "HDSL") * 0.5)</f>
        <v>0.5</v>
      </c>
      <c r="D14" s="179">
        <f>'Apr2025'!D13-COUNTIF(E14:AI14, "SPL")</f>
        <v>2</v>
      </c>
      <c r="E14" s="166" t="s">
        <v>174</v>
      </c>
      <c r="F14" s="166"/>
      <c r="G14" s="172"/>
      <c r="H14" s="166"/>
      <c r="I14" s="166"/>
      <c r="J14" s="166"/>
      <c r="K14" s="166"/>
      <c r="L14" s="166"/>
      <c r="M14" s="166"/>
      <c r="N14" s="166"/>
      <c r="O14" s="166"/>
      <c r="P14" s="166"/>
      <c r="Q14" s="166" t="s">
        <v>174</v>
      </c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>
        <f t="shared" si="0"/>
        <v>0</v>
      </c>
    </row>
    <row r="15" spans="1:36" ht="17.25" customHeight="1" x14ac:dyDescent="0.2">
      <c r="A15" s="193" t="s">
        <v>180</v>
      </c>
      <c r="B15" s="177">
        <f>'Apr2025'!B14+1.25- (COUNTIF(E15:AI15, "VL") * 1) - (COUNTIF(E15:AI15, "HDL") * 0.5)</f>
        <v>7.75</v>
      </c>
      <c r="C15" s="178">
        <f>'Apr2025'!C14-COUNTIF(E15:AI15, "SL")-(COUNTIF(E15:AI15, "HDSL") * 0.5)</f>
        <v>5</v>
      </c>
      <c r="D15" s="179">
        <f>'Apr2025'!D14-COUNTIF(E15:AI15, "SPL")</f>
        <v>0</v>
      </c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>
        <f t="shared" si="0"/>
        <v>0</v>
      </c>
    </row>
    <row r="16" spans="1:36" ht="17.25" customHeight="1" x14ac:dyDescent="0.2">
      <c r="A16" s="191" t="s">
        <v>181</v>
      </c>
      <c r="B16" s="177">
        <f>'Apr2025'!B15+1.25- (COUNTIF(E16:AI16, "VL") * 1) - (COUNTIF(E16:AI16, "HDL") * 0.5)</f>
        <v>7.75</v>
      </c>
      <c r="C16" s="178">
        <f>'Apr2025'!C15-COUNTIF(E16:AI16, "SL")-(COUNTIF(E16:AI16, "HDSL") * 0.5)</f>
        <v>0</v>
      </c>
      <c r="D16" s="179">
        <f>'Apr2025'!D15-COUNTIF(E16:AI16, "SPL")</f>
        <v>0</v>
      </c>
      <c r="E16" s="166"/>
      <c r="F16" s="166"/>
      <c r="G16" s="166"/>
      <c r="H16" s="166" t="s">
        <v>172</v>
      </c>
      <c r="I16" s="166"/>
      <c r="J16" s="166"/>
      <c r="K16" s="166"/>
      <c r="L16" s="166"/>
      <c r="M16" s="166"/>
      <c r="N16" s="166"/>
      <c r="O16" s="166" t="s">
        <v>172</v>
      </c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  <c r="AH16" s="166"/>
      <c r="AI16" s="166"/>
      <c r="AJ16">
        <f t="shared" si="0"/>
        <v>0</v>
      </c>
    </row>
    <row r="17" spans="1:36" ht="17.25" customHeight="1" x14ac:dyDescent="0.2">
      <c r="A17" s="191" t="s">
        <v>221</v>
      </c>
      <c r="B17" s="177">
        <f>'Apr2025'!B16+1.25- (COUNTIF(E17:AI17, "VL") * 1) - (COUNTIF(E17:AI17, "HDL") * 0.5)</f>
        <v>8.75</v>
      </c>
      <c r="C17" s="178">
        <f>'Apr2025'!C16+0.416666666666666-COUNTIF(E17:AI17, "SL")-(COUNTIF(E17:AI17, "HDSL") * 0.5)</f>
        <v>3.7453333333333321</v>
      </c>
      <c r="D17" s="179">
        <f>'Apr2025'!D16-COUNTIF(E17:AI17, "SPL")</f>
        <v>0</v>
      </c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81"/>
      <c r="AH17" s="181"/>
      <c r="AI17" s="149" t="s">
        <v>182</v>
      </c>
      <c r="AJ17">
        <f t="shared" si="0"/>
        <v>0</v>
      </c>
    </row>
    <row r="18" spans="1:36" ht="17.25" customHeight="1" x14ac:dyDescent="0.2">
      <c r="A18" s="191" t="s">
        <v>152</v>
      </c>
      <c r="B18" s="177">
        <f>'Apr2025'!B17+1.25- (COUNTIF(E18:AI18, "VL") * 1) - (COUNTIF(E18:AI18, "HDL") * 0.5)</f>
        <v>10.375</v>
      </c>
      <c r="C18" s="178">
        <f>'Apr2025'!C17-COUNTIF(E18:AI18, "SL")-(COUNTIF(E18:AI18, "HDSL") * 0.5)</f>
        <v>2</v>
      </c>
      <c r="D18" s="179">
        <f>'Apr2025'!D17-COUNTIF(E18:AI18, "SPL")</f>
        <v>0</v>
      </c>
      <c r="E18" s="166"/>
      <c r="F18" s="170"/>
      <c r="G18" s="170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 t="s">
        <v>173</v>
      </c>
      <c r="U18" s="166"/>
      <c r="V18" s="166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  <c r="AH18" s="166"/>
      <c r="AI18" s="166"/>
      <c r="AJ18">
        <f t="shared" si="0"/>
        <v>1</v>
      </c>
    </row>
    <row r="19" spans="1:36" ht="17.25" customHeight="1" x14ac:dyDescent="0.2">
      <c r="A19" s="191" t="s">
        <v>170</v>
      </c>
      <c r="B19" s="177">
        <f>'Apr2025'!B18+1.25- (COUNTIF(E19:AI19, "VL") * 1) - (COUNTIF(E19:AI19, "HDL") * 0.5)</f>
        <v>8.75</v>
      </c>
      <c r="C19" s="178">
        <f>'Apr2025'!C18-COUNTIF(E19:AI19, "SL")-(COUNTIF(E19:AI19, "HDSL") * 0.5)</f>
        <v>1</v>
      </c>
      <c r="D19" s="179">
        <f>'Apr2025'!D18-COUNTIF(E19:AI19, "SPL")</f>
        <v>0</v>
      </c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 t="s">
        <v>182</v>
      </c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>
        <f t="shared" si="0"/>
        <v>0</v>
      </c>
    </row>
    <row r="20" spans="1:36" ht="17.25" customHeight="1" x14ac:dyDescent="0.2">
      <c r="A20" s="141" t="s">
        <v>334</v>
      </c>
      <c r="B20" s="177">
        <f>'Apr2025'!B19+1.25- (COUNTIF(E20:AI20, "VL") * 1) - (COUNTIF(E20:AI20, "HDL") * 0.5)</f>
        <v>8.75</v>
      </c>
      <c r="C20" s="178">
        <f>'Apr2025'!C19+0.416666666666666-COUNTIF(E20:AI20, "SL")-(COUNTIF(E20:AI20, "HDSL") * 0.5)</f>
        <v>1.9166666666666621</v>
      </c>
      <c r="D20" s="179">
        <f>'Apr2025'!D19-COUNTIF(E20:AI20, "SPL")</f>
        <v>0</v>
      </c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>
        <f t="shared" si="0"/>
        <v>0</v>
      </c>
    </row>
    <row r="21" spans="1:36" ht="17.25" customHeight="1" x14ac:dyDescent="0.2">
      <c r="A21" s="191" t="s">
        <v>145</v>
      </c>
      <c r="B21" s="177">
        <f>'Apr2025'!B20+1.25- (COUNTIF(E21:AI21, "VL") * 1) - (COUNTIF(E21:AI21, "HDL") * 0.5)</f>
        <v>2</v>
      </c>
      <c r="C21" s="178">
        <f>'Apr2025'!C20-COUNTIF(E21:AI21, "SL")-(COUNTIF(E21:AI21, "HDSL") * 0.5)</f>
        <v>1</v>
      </c>
      <c r="D21" s="179">
        <f>'Apr2025'!D20-COUNTIF(E21:AI21, "SPL")</f>
        <v>0</v>
      </c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  <c r="AH21" s="166"/>
      <c r="AI21" s="166"/>
      <c r="AJ21">
        <f t="shared" si="0"/>
        <v>0</v>
      </c>
    </row>
    <row r="22" spans="1:36" ht="17.25" customHeight="1" x14ac:dyDescent="0.2">
      <c r="A22" s="191" t="s">
        <v>341</v>
      </c>
      <c r="B22" s="139">
        <f>1.25*6- (COUNTIF(E22:AI22, "VL") * 1) - (COUNTIF(E22:AI22, "HDL") * 0.5)</f>
        <v>7.5</v>
      </c>
      <c r="C22" s="140">
        <f>0.416666666666666*6-COUNTIF(E22:AI22, "SL")-(COUNTIF(E22:AI22, "HDSL") * 0.5)</f>
        <v>2.499999999999996</v>
      </c>
      <c r="D22" s="179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66"/>
      <c r="AI22" s="166"/>
      <c r="AJ22">
        <f t="shared" si="0"/>
        <v>0</v>
      </c>
    </row>
    <row r="23" spans="1:36" ht="17.25" customHeight="1" x14ac:dyDescent="0.2">
      <c r="A23" s="191" t="s">
        <v>150</v>
      </c>
      <c r="B23" s="177">
        <f>'Apr2025'!B21+1.25- (COUNTIF(E23:AI23, "VL") * 1) - (COUNTIF(E23:AI23, "HDL") * 0.5)</f>
        <v>6.5</v>
      </c>
      <c r="C23" s="178">
        <f>'Apr2025'!C21-COUNTIF(E23:AI23, "SL")-(COUNTIF(E23:AI23, "HDSL") * 0.5)</f>
        <v>0</v>
      </c>
      <c r="D23" s="179"/>
      <c r="E23" s="166"/>
      <c r="F23" s="166"/>
      <c r="G23" s="166"/>
      <c r="H23" s="166" t="s">
        <v>172</v>
      </c>
      <c r="I23" s="166"/>
      <c r="J23" s="166"/>
      <c r="K23" s="166"/>
      <c r="L23" s="166"/>
      <c r="M23" s="166"/>
      <c r="N23" s="166"/>
      <c r="O23" s="166"/>
      <c r="P23" s="171" t="s">
        <v>172</v>
      </c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>
        <f t="shared" si="0"/>
        <v>0</v>
      </c>
    </row>
    <row r="24" spans="1:36" ht="17.25" customHeight="1" x14ac:dyDescent="0.2">
      <c r="A24" s="191" t="s">
        <v>147</v>
      </c>
      <c r="B24" s="177">
        <f>'Apr2025'!B22+1.25- (COUNTIF(E24:AI24, "VL") * 1) - (COUNTIF(E24:AI24, "HDL") * 0.5)</f>
        <v>7.75</v>
      </c>
      <c r="C24" s="178">
        <f>'Apr2025'!C22-COUNTIF(E24:AI24, "SL")-(COUNTIF(E24:AI24, "HDSL") * 0.5)</f>
        <v>5</v>
      </c>
      <c r="D24" s="179">
        <f>'Apr2025'!D21-COUNTIF(E24:AI24, "SPL")</f>
        <v>0</v>
      </c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71" t="s">
        <v>172</v>
      </c>
      <c r="Q24" s="166" t="s">
        <v>172</v>
      </c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>
        <f t="shared" si="0"/>
        <v>0</v>
      </c>
    </row>
    <row r="25" spans="1:36" ht="17.25" customHeight="1" x14ac:dyDescent="0.2">
      <c r="A25" s="191" t="s">
        <v>168</v>
      </c>
      <c r="B25" s="177">
        <f>'Apr2025'!B23+1.25- (COUNTIF(E25:AI25, "VL") * 1) - (COUNTIF(E25:AI25, "HDL") * 0.5)</f>
        <v>4.25</v>
      </c>
      <c r="C25" s="178">
        <f>'Apr2025'!C23-COUNTIF(E25:AI25, "SL")-(COUNTIF(E25:AI25, "HDSL") * 0.5)</f>
        <v>0.5</v>
      </c>
      <c r="D25" s="179">
        <f>'Apr2025'!D22-COUNTIF(E25:AI25, "SPL")</f>
        <v>0</v>
      </c>
      <c r="E25" s="170" t="s">
        <v>172</v>
      </c>
      <c r="F25" s="170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 t="s">
        <v>173</v>
      </c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  <c r="AJ25">
        <f t="shared" si="0"/>
        <v>1</v>
      </c>
    </row>
    <row r="26" spans="1:36" ht="17.25" customHeight="1" x14ac:dyDescent="0.2">
      <c r="A26" s="193" t="s">
        <v>156</v>
      </c>
      <c r="B26" s="177">
        <f>'Apr2025'!B24+1.25- (COUNTIF(E26:AI26, "VL") * 1) - (COUNTIF(E26:AI26, "HDL") * 0.5)</f>
        <v>2.5</v>
      </c>
      <c r="C26" s="178">
        <f>'Apr2025'!C24-COUNTIF(E26:AI26, "SL")-(COUNTIF(E26:AI26, "HDSL") * 0.5)</f>
        <v>2</v>
      </c>
      <c r="D26" s="179">
        <f>'Apr2025'!D23-COUNTIF(E26:AI26, "SPL")</f>
        <v>0</v>
      </c>
      <c r="E26" s="166" t="s">
        <v>172</v>
      </c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 t="s">
        <v>182</v>
      </c>
      <c r="AB26" s="166"/>
      <c r="AC26" s="166"/>
      <c r="AD26" s="166"/>
      <c r="AE26" s="166"/>
      <c r="AF26" s="166"/>
      <c r="AG26" s="166"/>
      <c r="AH26" s="166"/>
      <c r="AI26" s="166"/>
      <c r="AJ26">
        <f t="shared" si="0"/>
        <v>0</v>
      </c>
    </row>
    <row r="27" spans="1:36" ht="17.25" customHeight="1" x14ac:dyDescent="0.2">
      <c r="A27" s="194" t="s">
        <v>183</v>
      </c>
      <c r="B27" s="177">
        <f>'Apr2025'!B25+1.25- (COUNTIF(E27:AI27, "VL") * 1) - (COUNTIF(E27:AI27, "HDL") * 0.5)</f>
        <v>3.25</v>
      </c>
      <c r="C27" s="178">
        <f>'Apr2025'!C25-COUNTIF(E27:AI27, "SL")-(COUNTIF(E27:AI27, "HDSL") * 0.5)</f>
        <v>2</v>
      </c>
      <c r="D27" s="179">
        <f>'Apr2025'!D25-COUNTIF(E27:AI27, "SPL")</f>
        <v>4</v>
      </c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 t="s">
        <v>173</v>
      </c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>
        <f t="shared" si="0"/>
        <v>1</v>
      </c>
    </row>
    <row r="28" spans="1:36" ht="17.25" customHeight="1" x14ac:dyDescent="0.2">
      <c r="A28" s="194" t="s">
        <v>342</v>
      </c>
      <c r="B28" s="139">
        <f>1.25*6- (COUNTIF(E28:AI28, "VL") * 1) - (COUNTIF(E28:AI28, "HDL") * 0.5)</f>
        <v>7.5</v>
      </c>
      <c r="C28" s="140">
        <f>0.416666666666666*6-COUNTIF(E28:AI28, "SL")-(COUNTIF(E28:AI28, "HDSL") * 0.5)</f>
        <v>2.499999999999996</v>
      </c>
      <c r="D28" s="179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6"/>
      <c r="AI28" s="166"/>
      <c r="AJ28">
        <f t="shared" si="0"/>
        <v>0</v>
      </c>
    </row>
    <row r="29" spans="1:36" ht="17.25" customHeight="1" x14ac:dyDescent="0.2">
      <c r="A29" s="193" t="s">
        <v>146</v>
      </c>
      <c r="B29" s="177">
        <f>'Apr2025'!B26+1.25- (COUNTIF(E29:AI29, "VL") * 1) - (COUNTIF(E29:AI29, "HDL") * 0.5)</f>
        <v>6.75</v>
      </c>
      <c r="C29" s="178">
        <f>'Apr2025'!C26-COUNTIF(E29:AI29, "SL")-(COUNTIF(E29:AI29, "HDSL") * 0.5)</f>
        <v>1</v>
      </c>
      <c r="D29" s="179">
        <f>'Apr2025'!D26-COUNTIF(E29:AI29, "SPL")</f>
        <v>0</v>
      </c>
      <c r="E29" s="170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 t="s">
        <v>182</v>
      </c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>
        <f t="shared" si="0"/>
        <v>0</v>
      </c>
    </row>
    <row r="30" spans="1:36" ht="17.25" customHeight="1" x14ac:dyDescent="0.2">
      <c r="A30" s="194" t="s">
        <v>184</v>
      </c>
      <c r="B30" s="177">
        <f>'Apr2025'!B27+1.25- (COUNTIF(E30:AI30, "VL") * 1) - (COUNTIF(E30:AI30, "HDL") * 0.5)</f>
        <v>5.75</v>
      </c>
      <c r="C30" s="178">
        <f>'Apr2025'!C27-COUNTIF(E30:AI30, "SL")-(COUNTIF(E30:AI30, "HDSL") * 0.5)</f>
        <v>0</v>
      </c>
      <c r="D30" s="179">
        <f>'Apr2025'!D27-COUNTIF(E30:AI30, "SPL")</f>
        <v>0</v>
      </c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 t="s">
        <v>172</v>
      </c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>
        <f t="shared" si="0"/>
        <v>0</v>
      </c>
    </row>
    <row r="31" spans="1:36" ht="17.25" customHeight="1" x14ac:dyDescent="0.2">
      <c r="A31" s="196" t="s">
        <v>343</v>
      </c>
      <c r="B31" s="139">
        <f>1.25*6- (COUNTIF(E31:AI31, "VL") * 1) - (COUNTIF(E31:AI31, "HDL") * 0.5)</f>
        <v>7.5</v>
      </c>
      <c r="C31" s="140">
        <f>0.416666666666666*6-COUNTIF(E31:AI31, "SL")-(COUNTIF(E31:AI31, "HDSL") * 0.5)</f>
        <v>2.499999999999996</v>
      </c>
      <c r="D31" s="179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>
        <f t="shared" si="0"/>
        <v>0</v>
      </c>
    </row>
    <row r="32" spans="1:36" ht="17.25" customHeight="1" x14ac:dyDescent="0.2">
      <c r="A32" s="195" t="s">
        <v>335</v>
      </c>
      <c r="B32" s="177">
        <f>'Apr2025'!B28+1.25- (COUNTIF(E32:AI32, "VL") * 1) - (COUNTIF(E32:AI32, "HDL") * 0.5)</f>
        <v>8.75</v>
      </c>
      <c r="C32" s="178">
        <f>'Apr2025'!C28+0.416666666666666-COUNTIF(E32:AI32, "SL")-(COUNTIF(E32:AI32, "HDSL") * 0.5)</f>
        <v>2.9166666666666621</v>
      </c>
      <c r="D32" s="179">
        <f>'Apr2025'!D28-COUNTIF(E32:AI32, "SPL")</f>
        <v>0</v>
      </c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>
        <f t="shared" si="0"/>
        <v>0</v>
      </c>
    </row>
    <row r="33" spans="1:36" ht="17.25" customHeight="1" x14ac:dyDescent="0.2">
      <c r="A33" s="195" t="s">
        <v>336</v>
      </c>
      <c r="B33" s="177">
        <f>'Apr2025'!B29+1.25- (COUNTIF(E33:AI33, "VL") * 1) - (COUNTIF(E33:AI33, "HDL") * 0.5)</f>
        <v>7.75</v>
      </c>
      <c r="C33" s="178">
        <f>'Apr2025'!C29+0.416666666666666-COUNTIF(E33:AI33, "SL")-(COUNTIF(E33:AI33, "HDSL") * 0.5)</f>
        <v>0.91666666666666208</v>
      </c>
      <c r="D33" s="179">
        <f>'Apr2025'!D29-COUNTIF(E33:AI33, "SPL")</f>
        <v>0</v>
      </c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 t="s">
        <v>173</v>
      </c>
      <c r="AE33" s="166"/>
      <c r="AF33" s="166"/>
      <c r="AG33" s="166"/>
      <c r="AH33" s="166"/>
      <c r="AI33" s="166"/>
      <c r="AJ33">
        <f t="shared" si="0"/>
        <v>1</v>
      </c>
    </row>
    <row r="34" spans="1:36" ht="17.25" customHeight="1" x14ac:dyDescent="0.2">
      <c r="A34" s="191" t="s">
        <v>157</v>
      </c>
      <c r="B34" s="177">
        <f>'Apr2025'!B30+1.25- (COUNTIF(E34:AI34, "VL") * 1) - (COUNTIF(E34:AI34, "HDL") * 0.5)</f>
        <v>9</v>
      </c>
      <c r="C34" s="178">
        <f>'Apr2025'!C30-COUNTIF(E34:AI34, "SL")-(COUNTIF(E34:AI34, "HDSL") * 0.5)</f>
        <v>1</v>
      </c>
      <c r="D34" s="179">
        <f>'Apr2025'!D30-COUNTIF(E34:AI34, "SPL")</f>
        <v>0</v>
      </c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 t="s">
        <v>182</v>
      </c>
      <c r="Q34" s="166"/>
      <c r="R34" s="166"/>
      <c r="S34" s="166"/>
      <c r="T34" s="166"/>
      <c r="U34" s="166"/>
      <c r="V34" s="166"/>
      <c r="W34" s="166"/>
      <c r="X34" s="166"/>
      <c r="Y34" s="166"/>
      <c r="Z34" s="166" t="s">
        <v>173</v>
      </c>
      <c r="AA34" s="166"/>
      <c r="AB34" s="166"/>
      <c r="AC34" s="166"/>
      <c r="AD34" s="166"/>
      <c r="AE34" s="166"/>
      <c r="AF34" s="166"/>
      <c r="AG34" s="166"/>
      <c r="AH34" s="166"/>
      <c r="AI34" s="166"/>
      <c r="AJ34">
        <f t="shared" si="0"/>
        <v>1</v>
      </c>
    </row>
    <row r="35" spans="1:36" ht="17.25" customHeight="1" x14ac:dyDescent="0.2">
      <c r="A35" s="191" t="s">
        <v>161</v>
      </c>
      <c r="B35" s="177">
        <f>'Apr2025'!B31+1.25- (COUNTIF(E35:AI35, "VL") * 1) - (COUNTIF(E35:AI35, "HDL") * 0.5)</f>
        <v>2.25</v>
      </c>
      <c r="C35" s="178">
        <f>'Apr2025'!C31-COUNTIF(E35:AI35, "SL")-(COUNTIF(E35:AI35, "HDSL") * 0.5)</f>
        <v>0</v>
      </c>
      <c r="D35" s="179">
        <f>'Apr2025'!D31-COUNTIF(E35:AI35, "SPL")</f>
        <v>0</v>
      </c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 t="s">
        <v>182</v>
      </c>
      <c r="AH35" s="166"/>
      <c r="AI35" s="166"/>
      <c r="AJ35">
        <f t="shared" si="0"/>
        <v>0</v>
      </c>
    </row>
    <row r="36" spans="1:36" ht="17.25" customHeight="1" x14ac:dyDescent="0.2">
      <c r="A36" s="193" t="s">
        <v>338</v>
      </c>
      <c r="B36" s="177">
        <f>'Apr2025'!B32+1.25- (COUNTIF(E36:AI36, "VL") * 1) - (COUNTIF(E36:AI36, "HDL") * 0.5)</f>
        <v>8.75</v>
      </c>
      <c r="C36" s="178">
        <f>'Apr2025'!C32+0.416666666666666-COUNTIF(E36:AI36, "SL")-(COUNTIF(E36:AI36, "HDSL") * 0.5)</f>
        <v>2.9166666666666621</v>
      </c>
      <c r="D36" s="179">
        <f>'Apr2025'!D32-COUNTIF(E36:AI36, "SPL")</f>
        <v>0</v>
      </c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>
        <f t="shared" si="0"/>
        <v>0</v>
      </c>
    </row>
    <row r="37" spans="1:36" ht="17.25" customHeight="1" x14ac:dyDescent="0.2">
      <c r="A37" s="191" t="s">
        <v>167</v>
      </c>
      <c r="B37" s="177">
        <f>'Apr2025'!B33+1.25- (COUNTIF(E37:AI37, "VL") * 1) - (COUNTIF(E37:AI37, "HDL") * 0.5)</f>
        <v>10.5</v>
      </c>
      <c r="C37" s="178">
        <f>'Apr2025'!C33-COUNTIF(E37:AI37, "SL")-(COUNTIF(E37:AI37, "HDSL") * 0.5)</f>
        <v>3</v>
      </c>
      <c r="D37" s="179">
        <f>'Apr2025'!D33-COUNTIF(E37:AI37, "SPL")</f>
        <v>0</v>
      </c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 t="s">
        <v>172</v>
      </c>
      <c r="Q37" s="166" t="s">
        <v>172</v>
      </c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>
        <f t="shared" si="0"/>
        <v>0</v>
      </c>
    </row>
    <row r="38" spans="1:36" ht="17.25" customHeight="1" x14ac:dyDescent="0.2">
      <c r="A38" s="191" t="s">
        <v>344</v>
      </c>
      <c r="B38" s="139">
        <f>1.25*6- (COUNTIF(E38:AI38, "VL") * 1) - (COUNTIF(E38:AI38, "HDL") * 0.5)</f>
        <v>7.5</v>
      </c>
      <c r="C38" s="140">
        <f>0.416666666666666*6-COUNTIF(E38:AI38, "SL")-(COUNTIF(E38:AI38, "HDSL") * 0.5)</f>
        <v>2.499999999999996</v>
      </c>
      <c r="D38" s="179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>
        <f t="shared" si="0"/>
        <v>0</v>
      </c>
    </row>
    <row r="39" spans="1:36" ht="17.25" customHeight="1" x14ac:dyDescent="0.2">
      <c r="A39" s="191" t="s">
        <v>159</v>
      </c>
      <c r="B39" s="177">
        <f>'Apr2025'!B34+1.25- (COUNTIF(E39:AI39, "VL") * 1) - (COUNTIF(E39:AI39, "HDL") * 0.5)</f>
        <v>6.25</v>
      </c>
      <c r="C39" s="178">
        <f>'Apr2025'!C34-COUNTIF(E39:AI39, "SL")-(COUNTIF(E39:AI39, "HDSL") * 0.5)</f>
        <v>3</v>
      </c>
      <c r="D39" s="179">
        <f>'Apr2025'!D34-COUNTIF(E39:AI39, "SPL")</f>
        <v>0</v>
      </c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 t="s">
        <v>172</v>
      </c>
      <c r="Q39" s="166" t="s">
        <v>172</v>
      </c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  <c r="AJ39">
        <f t="shared" si="0"/>
        <v>0</v>
      </c>
    </row>
    <row r="40" spans="1:36" ht="17.25" customHeight="1" x14ac:dyDescent="0.2">
      <c r="A40" s="191" t="s">
        <v>223</v>
      </c>
      <c r="B40" s="177">
        <f>'Apr2025'!B35+1.25- (COUNTIF(E40:AI40, "VL") * 1) - (COUNTIF(E40:AI40, "HDL") * 0.5)</f>
        <v>6.25</v>
      </c>
      <c r="C40" s="178">
        <f>'Apr2025'!C35+0.416666666666666-COUNTIF(E40:AI40, "SL")-(COUNTIF(E40:AI40, "HDSL") * 0.5)</f>
        <v>2.7459999999999982</v>
      </c>
      <c r="D40" s="179">
        <f>'Apr2025'!D35-COUNTIF(E40:AI40, "SPL")</f>
        <v>0</v>
      </c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 t="s">
        <v>172</v>
      </c>
      <c r="Q40" s="166"/>
      <c r="R40" s="166"/>
      <c r="S40" s="166"/>
      <c r="T40" s="166"/>
      <c r="U40" s="166"/>
      <c r="V40" s="166"/>
      <c r="W40" s="166"/>
      <c r="X40" s="166"/>
      <c r="Y40" s="166"/>
      <c r="Z40" s="166" t="s">
        <v>182</v>
      </c>
      <c r="AA40" s="166"/>
      <c r="AB40" s="166"/>
      <c r="AC40" s="166"/>
      <c r="AD40" s="166" t="s">
        <v>172</v>
      </c>
      <c r="AE40" s="166" t="s">
        <v>172</v>
      </c>
      <c r="AF40" s="166"/>
      <c r="AG40" s="181"/>
      <c r="AH40" s="181"/>
      <c r="AI40" s="181"/>
      <c r="AJ40">
        <f t="shared" si="0"/>
        <v>0</v>
      </c>
    </row>
    <row r="41" spans="1:36" ht="17.25" customHeight="1" x14ac:dyDescent="0.2">
      <c r="A41" s="191" t="s">
        <v>185</v>
      </c>
      <c r="B41" s="177">
        <f>'Apr2025'!B36+1.25- (COUNTIF(E41:AI41, "VL") * 1) - (COUNTIF(E41:AI41, "HDL") * 0.5)</f>
        <v>7.75</v>
      </c>
      <c r="C41" s="178">
        <f>'Apr2025'!C36-COUNTIF(E41:AI41, "SL")-(COUNTIF(E41:AI41, "HDSL") * 0.5)</f>
        <v>3</v>
      </c>
      <c r="D41" s="179">
        <f>'Apr2025'!D36-COUNTIF(E41:AI41, "SPL")</f>
        <v>0</v>
      </c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 t="s">
        <v>172</v>
      </c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  <c r="AJ41">
        <f t="shared" si="0"/>
        <v>0</v>
      </c>
    </row>
    <row r="42" spans="1:36" ht="17.25" customHeight="1" x14ac:dyDescent="0.2">
      <c r="A42" s="191" t="s">
        <v>148</v>
      </c>
      <c r="B42" s="177">
        <f>'Apr2025'!B37+1.25- (COUNTIF(E42:AI42, "VL") * 1) - (COUNTIF(E42:AI42, "HDL") * 0.5)</f>
        <v>4.75</v>
      </c>
      <c r="C42" s="178">
        <f>'Apr2025'!C37-COUNTIF(E42:AI42, "SL")-(COUNTIF(E42:AI42, "HDSL") * 0.5)</f>
        <v>1.5</v>
      </c>
      <c r="D42" s="179">
        <f>'Apr2025'!D37-COUNTIF(E42:AI42, "SPL")</f>
        <v>0</v>
      </c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 t="s">
        <v>173</v>
      </c>
      <c r="Y42" s="166"/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  <c r="AJ42">
        <f t="shared" si="0"/>
        <v>1</v>
      </c>
    </row>
    <row r="43" spans="1:36" ht="17.25" customHeight="1" x14ac:dyDescent="0.2">
      <c r="A43" s="191" t="s">
        <v>171</v>
      </c>
      <c r="B43" s="177">
        <f>'Apr2025'!B38+1.25- (COUNTIF(E43:AI43, "VL") * 1) - (COUNTIF(E43:AI43, "HDL") * 0.5)</f>
        <v>21.25</v>
      </c>
      <c r="C43" s="178">
        <f>'Apr2025'!C38-COUNTIF(E43:AI43, "SL")-(COUNTIF(E43:AI43, "HDSL") * 0.5)</f>
        <v>3</v>
      </c>
      <c r="D43" s="179">
        <f>'Apr2025'!D38-COUNTIF(E43:AI43, "SPL")</f>
        <v>0</v>
      </c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 t="s">
        <v>173</v>
      </c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>
        <f t="shared" si="0"/>
        <v>1</v>
      </c>
    </row>
    <row r="44" spans="1:36" ht="17.25" customHeight="1" x14ac:dyDescent="0.2">
      <c r="A44" s="192" t="s">
        <v>186</v>
      </c>
      <c r="B44" s="177">
        <f>'Apr2025'!B39+1.25- (COUNTIF(E44:AI44, "VL") * 1) - (COUNTIF(E44:AI44, "HDL") * 0.5)</f>
        <v>8.75</v>
      </c>
      <c r="C44" s="178">
        <f>'Apr2025'!C39-COUNTIF(E44:AI44, "SL")-(COUNTIF(E44:AI44, "HDSL") * 0.5)</f>
        <v>4.5</v>
      </c>
      <c r="D44" s="179">
        <f>'Apr2025'!D39-COUNTIF(E44:AI44, "SPL")</f>
        <v>0</v>
      </c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  <c r="AH44" s="166"/>
      <c r="AI44" s="166"/>
      <c r="AJ44">
        <f t="shared" si="0"/>
        <v>0</v>
      </c>
    </row>
    <row r="45" spans="1:36" ht="17.25" customHeight="1" x14ac:dyDescent="0.2">
      <c r="A45" s="193" t="s">
        <v>188</v>
      </c>
      <c r="B45" s="177">
        <f>'Apr2025'!B40+1.25- (COUNTIF(E45:AI45, "VL") * 1) - (COUNTIF(E45:AI45, "HDL") * 0.5)</f>
        <v>1.25</v>
      </c>
      <c r="C45" s="178">
        <f>'Apr2025'!C40-COUNTIF(E45:AI45, "SL")-(COUNTIF(E45:AI45, "HDSL") * 0.5)</f>
        <v>0.5</v>
      </c>
      <c r="D45" s="179">
        <f>'Apr2025'!D40-COUNTIF(E45:AI45, "SPL")</f>
        <v>0</v>
      </c>
      <c r="E45" s="166" t="s">
        <v>172</v>
      </c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 t="s">
        <v>172</v>
      </c>
      <c r="Q45" s="166"/>
      <c r="R45" s="166"/>
      <c r="S45" s="166"/>
      <c r="T45" s="166"/>
      <c r="U45" s="166"/>
      <c r="V45" s="166"/>
      <c r="W45" s="166"/>
      <c r="X45" s="166" t="s">
        <v>172</v>
      </c>
      <c r="Y45" s="166"/>
      <c r="Z45" s="166"/>
      <c r="AA45" s="166"/>
      <c r="AB45" s="166"/>
      <c r="AC45" s="166"/>
      <c r="AD45" s="166"/>
      <c r="AE45" s="166"/>
      <c r="AF45" s="166"/>
      <c r="AG45" s="166"/>
      <c r="AH45" s="166"/>
      <c r="AI45" s="166"/>
      <c r="AJ45">
        <f t="shared" si="0"/>
        <v>0</v>
      </c>
    </row>
    <row r="46" spans="1:36" ht="17.25" customHeight="1" x14ac:dyDescent="0.2">
      <c r="A46" s="191" t="s">
        <v>187</v>
      </c>
      <c r="B46" s="177">
        <f>'Apr2025'!B41+1.25- (COUNTIF(E46:AI46, "VL") * 1) - (COUNTIF(E46:AI46, "HDL") * 0.5)</f>
        <v>7.25</v>
      </c>
      <c r="C46" s="178">
        <f>'Apr2025'!C41-COUNTIF(E46:AI46, "SL")-(COUNTIF(E46:AI46, "HDSL") * 0.5)</f>
        <v>2</v>
      </c>
      <c r="D46" s="179">
        <f>'Apr2025'!D41-COUNTIF(E46:AI46, "SPL")</f>
        <v>0</v>
      </c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 t="s">
        <v>182</v>
      </c>
      <c r="Q46" s="166"/>
      <c r="R46" s="166"/>
      <c r="S46" s="166"/>
      <c r="T46" s="166"/>
      <c r="U46" s="166"/>
      <c r="V46" s="166"/>
      <c r="W46" s="166" t="s">
        <v>173</v>
      </c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  <c r="AH46" s="166"/>
      <c r="AI46" s="166"/>
      <c r="AJ46">
        <f t="shared" si="0"/>
        <v>1</v>
      </c>
    </row>
    <row r="47" spans="1:36" ht="17.25" customHeight="1" x14ac:dyDescent="0.2">
      <c r="A47" s="193" t="s">
        <v>219</v>
      </c>
      <c r="B47" s="177">
        <f>'Apr2025'!B42+1.25- (COUNTIF(E47:AI47, "VL") * 1) - (COUNTIF(E47:AI47, "HDL") * 0.5)</f>
        <v>14.5</v>
      </c>
      <c r="C47" s="178">
        <f>'Apr2025'!C42-COUNTIF(E47:AI47, "SL")-(COUNTIF(E47:AI47, "HDSL") * 0.5)</f>
        <v>7.4999999999999964</v>
      </c>
      <c r="D47" s="179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  <c r="AH47" s="166"/>
      <c r="AI47" s="166"/>
      <c r="AJ47">
        <f t="shared" si="0"/>
        <v>0</v>
      </c>
    </row>
    <row r="48" spans="1:36" ht="17.25" customHeight="1" x14ac:dyDescent="0.2">
      <c r="A48" s="191" t="s">
        <v>154</v>
      </c>
      <c r="B48" s="177">
        <f>'Apr2025'!B43+1.25- (COUNTIF(E48:AI48, "VL") * 1) - (COUNTIF(E48:AI48, "HDL") * 0.5)</f>
        <v>1.25</v>
      </c>
      <c r="C48" s="178">
        <f>'Apr2025'!C43-COUNTIF(E48:AI48, "SL")-(COUNTIF(E48:AI48, "HDSL") * 0.5)</f>
        <v>3</v>
      </c>
      <c r="D48" s="179">
        <f>'Apr2025'!D43-COUNTIF(E48:AI48, "SPL")</f>
        <v>0</v>
      </c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 t="s">
        <v>172</v>
      </c>
      <c r="AB48" s="166"/>
      <c r="AC48" s="166"/>
      <c r="AD48" s="166"/>
      <c r="AE48" s="166"/>
      <c r="AF48" s="166"/>
      <c r="AG48" s="166"/>
      <c r="AH48" s="166"/>
      <c r="AI48" s="166"/>
      <c r="AJ48">
        <f t="shared" si="0"/>
        <v>0</v>
      </c>
    </row>
    <row r="49" spans="1:36" ht="17.25" customHeight="1" x14ac:dyDescent="0.2">
      <c r="A49" s="192" t="s">
        <v>189</v>
      </c>
      <c r="B49" s="177">
        <f>'Apr2025'!B44+1.25- (COUNTIF(E49:AI49, "VL") * 1) - (COUNTIF(E49:AI49, "HDL") * 0.5)</f>
        <v>20.5</v>
      </c>
      <c r="C49" s="178">
        <f>'Apr2025'!C44-COUNTIF(E49:AI49, "SL")-(COUNTIF(E49:AI49, "HDSL") * 0.5)</f>
        <v>2</v>
      </c>
      <c r="D49" s="179">
        <f>'Apr2025'!D44-COUNTIF(E49:AI49, "SPL")</f>
        <v>0</v>
      </c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 t="s">
        <v>182</v>
      </c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>
        <f t="shared" si="0"/>
        <v>0</v>
      </c>
    </row>
    <row r="50" spans="1:36" ht="17.25" customHeight="1" x14ac:dyDescent="0.2">
      <c r="A50" s="192" t="s">
        <v>345</v>
      </c>
      <c r="B50" s="139">
        <f>1.25*6- (COUNTIF(E50:AI50, "VL") * 1) - (COUNTIF(E50:AI50, "HDL") * 0.5)</f>
        <v>7.5</v>
      </c>
      <c r="C50" s="140">
        <f>0.416666666666666*6-COUNTIF(E50:AI50, "SL")-(COUNTIF(E50:AI50, "HDSL") * 0.5)</f>
        <v>2.499999999999996</v>
      </c>
      <c r="D50" s="179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  <c r="AI50" s="166"/>
      <c r="AJ50">
        <f t="shared" si="0"/>
        <v>0</v>
      </c>
    </row>
    <row r="51" spans="1:36" ht="17.25" customHeight="1" x14ac:dyDescent="0.2">
      <c r="A51" s="191" t="s">
        <v>155</v>
      </c>
      <c r="B51" s="177">
        <f>'Apr2025'!B45+1.25- (COUNTIF(E51:AI51, "VL") * 1) - (COUNTIF(E51:AI51, "HDL") * 0.5)</f>
        <v>2</v>
      </c>
      <c r="C51" s="178">
        <f>'Apr2025'!C45-COUNTIF(E51:AI51, "SL")-(COUNTIF(E51:AI51, "HDSL") * 0.5)</f>
        <v>4</v>
      </c>
      <c r="D51" s="179">
        <f>'Apr2025'!D45-COUNTIF(E51:AI51, "SPL")</f>
        <v>0</v>
      </c>
      <c r="E51" s="166" t="s">
        <v>172</v>
      </c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>
        <f t="shared" si="0"/>
        <v>0</v>
      </c>
    </row>
    <row r="52" spans="1:36" ht="17.25" customHeight="1" x14ac:dyDescent="0.2">
      <c r="A52" s="191" t="s">
        <v>224</v>
      </c>
      <c r="B52" s="177">
        <f>'Apr2025'!B46+1.25- (COUNTIF(E52:AI52, "VL") * 1) - (COUNTIF(E52:AI52, "HDL") * 0.5)</f>
        <v>9.25</v>
      </c>
      <c r="C52" s="178">
        <f>'Apr2025'!C46+0.416666666666666-COUNTIF(E52:AI52, "SL")-(COUNTIF(E52:AI52, "HDSL") * 0.5)</f>
        <v>3.7459999999999982</v>
      </c>
      <c r="D52" s="179">
        <f>'Apr2025'!D46-COUNTIF(E52:AI52, "SPL")</f>
        <v>0</v>
      </c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81"/>
      <c r="AH52" s="181"/>
      <c r="AI52" s="181"/>
      <c r="AJ52">
        <f t="shared" si="0"/>
        <v>0</v>
      </c>
    </row>
    <row r="53" spans="1:36" ht="17.25" customHeight="1" x14ac:dyDescent="0.2">
      <c r="A53" s="191" t="s">
        <v>166</v>
      </c>
      <c r="B53" s="177">
        <f>'Apr2025'!B47+1.25- (COUNTIF(E53:AI53, "VL") * 1) - (COUNTIF(E53:AI53, "HDL") * 0.5)</f>
        <v>3.5</v>
      </c>
      <c r="C53" s="178">
        <f>'Apr2025'!C47-COUNTIF(E53:AI53, "SL")-(COUNTIF(E53:AI53, "HDSL") * 0.5)</f>
        <v>2</v>
      </c>
      <c r="D53" s="179">
        <f>'Apr2025'!D47-COUNTIF(E53:AI53, "SPL")</f>
        <v>0</v>
      </c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>
        <f t="shared" si="0"/>
        <v>0</v>
      </c>
    </row>
    <row r="54" spans="1:36" x14ac:dyDescent="0.2">
      <c r="AJ54">
        <f t="shared" si="0"/>
        <v>0</v>
      </c>
    </row>
    <row r="55" spans="1:36" x14ac:dyDescent="0.2">
      <c r="AJ55">
        <f t="shared" si="0"/>
        <v>0</v>
      </c>
    </row>
    <row r="56" spans="1:36" x14ac:dyDescent="0.2">
      <c r="AJ56">
        <f t="shared" si="0"/>
        <v>0</v>
      </c>
    </row>
    <row r="57" spans="1:36" x14ac:dyDescent="0.2">
      <c r="AJ57">
        <f t="shared" si="0"/>
        <v>0</v>
      </c>
    </row>
    <row r="58" spans="1:36" x14ac:dyDescent="0.2">
      <c r="AJ58">
        <f t="shared" si="0"/>
        <v>0</v>
      </c>
    </row>
    <row r="59" spans="1:36" x14ac:dyDescent="0.2">
      <c r="AJ59">
        <f t="shared" si="0"/>
        <v>0</v>
      </c>
    </row>
    <row r="60" spans="1:36" x14ac:dyDescent="0.2">
      <c r="AJ60">
        <f t="shared" si="0"/>
        <v>0</v>
      </c>
    </row>
    <row r="61" spans="1:36" x14ac:dyDescent="0.2">
      <c r="AJ61">
        <f t="shared" si="0"/>
        <v>0</v>
      </c>
    </row>
    <row r="62" spans="1:36" x14ac:dyDescent="0.2">
      <c r="AJ62">
        <f t="shared" si="0"/>
        <v>0</v>
      </c>
    </row>
    <row r="63" spans="1:36" x14ac:dyDescent="0.2">
      <c r="AJ63">
        <f t="shared" si="0"/>
        <v>0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A172A-C0FA-4270-9BF5-723130C89039}">
  <sheetPr>
    <tabColor rgb="FFFF0000"/>
  </sheetPr>
  <dimension ref="A1:AJ63"/>
  <sheetViews>
    <sheetView zoomScale="130" zoomScaleNormal="130" workbookViewId="0">
      <pane xSplit="4" ySplit="1" topLeftCell="E22" activePane="bottomRight" state="frozen"/>
      <selection pane="topRight" activeCell="E1" sqref="E1"/>
      <selection pane="bottomLeft" activeCell="A2" sqref="A2"/>
      <selection pane="bottomRight" activeCell="B41" sqref="B41"/>
    </sheetView>
  </sheetViews>
  <sheetFormatPr defaultRowHeight="11.25" x14ac:dyDescent="0.2"/>
  <cols>
    <col min="1" max="1" width="42.83203125" style="203" customWidth="1"/>
    <col min="2" max="33" width="9.33203125" style="203"/>
    <col min="34" max="34" width="9.5" style="203" customWidth="1"/>
    <col min="35" max="16384" width="9.33203125" style="203"/>
  </cols>
  <sheetData>
    <row r="1" spans="1:36" x14ac:dyDescent="0.2">
      <c r="A1" s="199" t="s">
        <v>124</v>
      </c>
      <c r="B1" s="200" t="s">
        <v>172</v>
      </c>
      <c r="C1" s="201" t="s">
        <v>173</v>
      </c>
      <c r="D1" s="202" t="s">
        <v>174</v>
      </c>
      <c r="E1" s="197">
        <v>45444</v>
      </c>
      <c r="F1" s="197">
        <v>45445</v>
      </c>
      <c r="G1" s="197">
        <v>45446</v>
      </c>
      <c r="H1" s="197">
        <v>45447</v>
      </c>
      <c r="I1" s="197">
        <v>45448</v>
      </c>
      <c r="J1" s="197">
        <v>45449</v>
      </c>
      <c r="K1" s="197">
        <v>45450</v>
      </c>
      <c r="L1" s="197">
        <v>45451</v>
      </c>
      <c r="M1" s="197">
        <v>45452</v>
      </c>
      <c r="N1" s="197">
        <v>45453</v>
      </c>
      <c r="O1" s="197">
        <v>45454</v>
      </c>
      <c r="P1" s="197">
        <v>45455</v>
      </c>
      <c r="Q1" s="197">
        <v>45456</v>
      </c>
      <c r="R1" s="197">
        <v>45457</v>
      </c>
      <c r="S1" s="197">
        <v>45458</v>
      </c>
      <c r="T1" s="197">
        <v>45459</v>
      </c>
      <c r="U1" s="197">
        <v>45460</v>
      </c>
      <c r="V1" s="197">
        <v>45461</v>
      </c>
      <c r="W1" s="197">
        <v>45462</v>
      </c>
      <c r="X1" s="197">
        <v>45463</v>
      </c>
      <c r="Y1" s="197">
        <v>45464</v>
      </c>
      <c r="Z1" s="197">
        <v>45465</v>
      </c>
      <c r="AA1" s="197">
        <v>45466</v>
      </c>
      <c r="AB1" s="197">
        <v>45467</v>
      </c>
      <c r="AC1" s="197">
        <v>45468</v>
      </c>
      <c r="AD1" s="197">
        <v>45469</v>
      </c>
      <c r="AE1" s="197">
        <v>45470</v>
      </c>
      <c r="AF1" s="197">
        <v>45471</v>
      </c>
      <c r="AG1" s="197">
        <v>45472</v>
      </c>
      <c r="AH1" s="197">
        <v>45473</v>
      </c>
      <c r="AJ1" s="203" t="s">
        <v>346</v>
      </c>
    </row>
    <row r="2" spans="1:36" ht="17.25" customHeight="1" x14ac:dyDescent="0.2">
      <c r="A2" s="204" t="s">
        <v>158</v>
      </c>
      <c r="B2" s="205">
        <f>'May2025 '!B2+1.25- (COUNTIF(E2:AH2, "VL") * 1) - (COUNTIF(E2:AH2, "HDL") * 0.5)</f>
        <v>5.5</v>
      </c>
      <c r="C2" s="206">
        <f>'May2025 '!C2-COUNTIF(E2:AH2, "SL")-(COUNTIF(E2:AH2, "HDSL") * 0.5)</f>
        <v>1</v>
      </c>
      <c r="D2" s="207">
        <f>'May2025 '!D2-COUNTIF(E2:AH2, "SPL")</f>
        <v>0</v>
      </c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 t="s">
        <v>173</v>
      </c>
      <c r="AE2" s="208" t="s">
        <v>173</v>
      </c>
      <c r="AF2" s="208" t="s">
        <v>173</v>
      </c>
      <c r="AG2" s="208"/>
      <c r="AH2" s="208"/>
      <c r="AJ2" s="203">
        <f>COUNTIF(E2:AI2,"SL")</f>
        <v>3</v>
      </c>
    </row>
    <row r="3" spans="1:36" ht="17.25" customHeight="1" x14ac:dyDescent="0.2">
      <c r="A3" s="204" t="s">
        <v>160</v>
      </c>
      <c r="B3" s="205">
        <f>'May2025 '!B3+1.25- (COUNTIF(E3:AH3, "VL") * 1) - (COUNTIF(E3:AH3, "HDL") * 0.5)</f>
        <v>14.5</v>
      </c>
      <c r="C3" s="206">
        <f>'May2025 '!C3-COUNTIF(E3:AH3, "SL")-(COUNTIF(E3:AH3, "HDSL") * 0.5)</f>
        <v>3</v>
      </c>
      <c r="D3" s="207">
        <f>'May2025 '!D3-COUNTIF(E3:AH3, "SPL")</f>
        <v>0</v>
      </c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 t="s">
        <v>173</v>
      </c>
      <c r="AE3" s="208"/>
      <c r="AF3" s="208"/>
      <c r="AG3" s="208"/>
      <c r="AH3" s="208"/>
      <c r="AJ3" s="203">
        <f t="shared" ref="AJ3:AJ63" si="0">COUNTIF(E3:AI3,"SL")</f>
        <v>1</v>
      </c>
    </row>
    <row r="4" spans="1:36" ht="17.25" customHeight="1" x14ac:dyDescent="0.2">
      <c r="A4" s="204" t="s">
        <v>149</v>
      </c>
      <c r="B4" s="205">
        <f>'May2025 '!B4+1.25- (COUNTIF(E4:AH4, "VL") * 1) - (COUNTIF(E4:AH4, "HDL") * 0.5)</f>
        <v>14.25</v>
      </c>
      <c r="C4" s="206">
        <f>'May2025 '!C4-COUNTIF(E4:AH4, "SL")-(COUNTIF(E4:AH4, "HDSL") * 0.5)</f>
        <v>0</v>
      </c>
      <c r="D4" s="207">
        <f>'May2025 '!D4-COUNTIF(E4:AH4, "SPL")</f>
        <v>0</v>
      </c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8"/>
      <c r="AJ4" s="203">
        <f t="shared" si="0"/>
        <v>0</v>
      </c>
    </row>
    <row r="5" spans="1:36" ht="17.25" customHeight="1" x14ac:dyDescent="0.2">
      <c r="A5" s="204" t="s">
        <v>142</v>
      </c>
      <c r="B5" s="205">
        <f>'May2025 '!B5+1.25- (COUNTIF(E5:AH5, "VL") * 1) - (COUNTIF(E5:AH5, "HDL") * 0.5)</f>
        <v>10</v>
      </c>
      <c r="C5" s="206">
        <f>'May2025 '!C5-COUNTIF(E5:AH5, "SL")-(COUNTIF(E5:AH5, "HDSL") * 0.5)</f>
        <v>1.5</v>
      </c>
      <c r="D5" s="207">
        <f>'May2025 '!D5-COUNTIF(E5:AH5, "SPL")</f>
        <v>0</v>
      </c>
      <c r="E5" s="208"/>
      <c r="F5" s="208"/>
      <c r="G5" s="208"/>
      <c r="H5" s="208"/>
      <c r="I5" s="208"/>
      <c r="J5" s="208"/>
      <c r="K5" s="208"/>
      <c r="L5" s="208"/>
      <c r="M5" s="208"/>
      <c r="N5" s="208" t="s">
        <v>173</v>
      </c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J5" s="203">
        <f t="shared" si="0"/>
        <v>1</v>
      </c>
    </row>
    <row r="6" spans="1:36" ht="17.25" customHeight="1" x14ac:dyDescent="0.2">
      <c r="A6" s="204" t="s">
        <v>176</v>
      </c>
      <c r="B6" s="205">
        <f>'May2025 '!B6+1.25- (COUNTIF(E6:AH6, "VL") * 1) - (COUNTIF(E6:AH6, "HDL") * 0.5)</f>
        <v>6.5</v>
      </c>
      <c r="C6" s="206">
        <f>'May2025 '!C6-COUNTIF(E6:AH6, "SL")-(COUNTIF(E6:AH6, "HDSL") * 0.5)</f>
        <v>4</v>
      </c>
      <c r="D6" s="207">
        <f>'May2025 '!D6-COUNTIF(E6:AH6, "SPL")</f>
        <v>0</v>
      </c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  <c r="AJ6" s="203">
        <f t="shared" si="0"/>
        <v>0</v>
      </c>
    </row>
    <row r="7" spans="1:36" ht="17.25" customHeight="1" x14ac:dyDescent="0.2">
      <c r="A7" s="209" t="s">
        <v>177</v>
      </c>
      <c r="B7" s="205">
        <f>'May2025 '!B7+1.25- (COUNTIF(E7:AH7, "VL") * 1) - (COUNTIF(E7:AH7, "HDL") * 0.5)</f>
        <v>6.25</v>
      </c>
      <c r="C7" s="206">
        <f>'May2025 '!C7-COUNTIF(E7:AH7, "SL")-(COUNTIF(E7:AH7, "HDSL") * 0.5)</f>
        <v>1</v>
      </c>
      <c r="D7" s="207">
        <f>'May2025 '!D7-COUNTIF(E7:AH7, "SPL")</f>
        <v>0</v>
      </c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 t="s">
        <v>173</v>
      </c>
      <c r="X7" s="198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J7" s="203">
        <f t="shared" si="0"/>
        <v>1</v>
      </c>
    </row>
    <row r="8" spans="1:36" ht="17.25" customHeight="1" x14ac:dyDescent="0.2">
      <c r="A8" s="209" t="s">
        <v>178</v>
      </c>
      <c r="B8" s="205">
        <f>'May2025 '!B8+1.25- (COUNTIF(E8:AH8, "VL") * 1) - (COUNTIF(E8:AH8, "HDL") * 0.5)</f>
        <v>4</v>
      </c>
      <c r="C8" s="206">
        <f>'May2025 '!C8-COUNTIF(E8:AH8, "SL")-(COUNTIF(E8:AH8, "HDSL") * 0.5)</f>
        <v>4</v>
      </c>
      <c r="D8" s="207">
        <f>'May2025 '!D8-COUNTIF(E8:AH8, "SPL")</f>
        <v>0</v>
      </c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J8" s="203">
        <f t="shared" si="0"/>
        <v>0</v>
      </c>
    </row>
    <row r="9" spans="1:36" ht="17.25" customHeight="1" x14ac:dyDescent="0.2">
      <c r="A9" s="209" t="s">
        <v>332</v>
      </c>
      <c r="B9" s="205">
        <f>'May2025 '!B9+1.25- (COUNTIF(E9:AH9, "VL") * 1) - (COUNTIF(E9:AH9, "HDL") * 0.5)</f>
        <v>0</v>
      </c>
      <c r="C9" s="206">
        <f>'May2025 '!C9-COUNTIF(E9:AH9, "SL")-(COUNTIF(E9:AH9, "HDSL") * 0.5)</f>
        <v>1.9166666666666621</v>
      </c>
      <c r="D9" s="207">
        <f>'May2025 '!D9-COUNTIF(E9:AH9, "SPL")</f>
        <v>0</v>
      </c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 t="s">
        <v>172</v>
      </c>
      <c r="AB9" s="208" t="s">
        <v>172</v>
      </c>
      <c r="AC9" s="208" t="s">
        <v>172</v>
      </c>
      <c r="AD9" s="208" t="s">
        <v>172</v>
      </c>
      <c r="AE9" s="208" t="s">
        <v>172</v>
      </c>
      <c r="AF9" s="208"/>
      <c r="AG9" s="208"/>
      <c r="AH9" s="208" t="s">
        <v>172</v>
      </c>
      <c r="AJ9" s="203">
        <f t="shared" si="0"/>
        <v>0</v>
      </c>
    </row>
    <row r="10" spans="1:36" ht="17.25" customHeight="1" x14ac:dyDescent="0.2">
      <c r="A10" s="209" t="s">
        <v>162</v>
      </c>
      <c r="B10" s="205">
        <f>'May2025 '!B10+1.25- (COUNTIF(E10:AH10, "VL") * 1) - (COUNTIF(E10:AH10, "HDL") * 0.5)</f>
        <v>10.75</v>
      </c>
      <c r="C10" s="206">
        <f>'May2025 '!C10-COUNTIF(E10:AH10, "SL")-(COUNTIF(E10:AH10, "HDSL") * 0.5)</f>
        <v>5</v>
      </c>
      <c r="D10" s="207">
        <f>'May2025 '!D10-COUNTIF(E10:AH10, "SPL")</f>
        <v>0</v>
      </c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8"/>
      <c r="AB10" s="208"/>
      <c r="AC10" s="208"/>
      <c r="AD10" s="208"/>
      <c r="AE10" s="208" t="s">
        <v>172</v>
      </c>
      <c r="AF10" s="208"/>
      <c r="AG10" s="208"/>
      <c r="AH10" s="208"/>
      <c r="AJ10" s="203">
        <f t="shared" si="0"/>
        <v>0</v>
      </c>
    </row>
    <row r="11" spans="1:36" ht="17.25" customHeight="1" x14ac:dyDescent="0.2">
      <c r="A11" s="209" t="s">
        <v>347</v>
      </c>
      <c r="B11" s="205">
        <f>'May2025 '!B11+1.25- (COUNTIF(E11:AH11, "VL") * 1) - (COUNTIF(E11:AH11, "HDL") * 0.5)</f>
        <v>10</v>
      </c>
      <c r="C11" s="206">
        <f>'May2025 '!C11+0.416666666666666-COUNTIF(E11:AH11, "SL")-(COUNTIF(E11:AH11, "HDSL") * 0.5)</f>
        <v>2.3333333333333282</v>
      </c>
      <c r="D11" s="207">
        <f>'May2025 '!D12-COUNTIF(E11:AH11, "SPL")</f>
        <v>0</v>
      </c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 t="s">
        <v>173</v>
      </c>
      <c r="W11" s="208"/>
      <c r="X11" s="208"/>
      <c r="Y11" s="208"/>
      <c r="Z11" s="208"/>
      <c r="AA11" s="208"/>
      <c r="AB11" s="208"/>
      <c r="AC11" s="208"/>
      <c r="AD11" s="208"/>
      <c r="AE11" s="208"/>
      <c r="AF11" s="208"/>
      <c r="AG11" s="208"/>
      <c r="AH11" s="208"/>
      <c r="AJ11" s="203">
        <f t="shared" si="0"/>
        <v>1</v>
      </c>
    </row>
    <row r="12" spans="1:36" ht="17.25" customHeight="1" x14ac:dyDescent="0.2">
      <c r="A12" s="209" t="s">
        <v>179</v>
      </c>
      <c r="B12" s="205">
        <f>'May2025 '!B12+1.25- (COUNTIF(E12:AH12, "VL") * 1) - (COUNTIF(E12:AH12, "HDL") * 0.5)</f>
        <v>4</v>
      </c>
      <c r="C12" s="206">
        <f>'May2025 '!C12-COUNTIF(E12:AH12, "SL")-(COUNTIF(E12:AH12, "HDSL") * 0.5)</f>
        <v>4</v>
      </c>
      <c r="D12" s="207">
        <f>'May2025 '!D12-COUNTIF(E12:AH12, "SPL")</f>
        <v>0</v>
      </c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 t="s">
        <v>172</v>
      </c>
      <c r="AC12" s="198" t="s">
        <v>172</v>
      </c>
      <c r="AD12" s="198" t="s">
        <v>172</v>
      </c>
      <c r="AE12" s="198"/>
      <c r="AF12" s="198"/>
      <c r="AG12" s="198"/>
      <c r="AH12" s="198"/>
      <c r="AJ12" s="203">
        <f t="shared" si="0"/>
        <v>0</v>
      </c>
    </row>
    <row r="13" spans="1:36" ht="17.25" customHeight="1" x14ac:dyDescent="0.2">
      <c r="A13" s="209" t="s">
        <v>348</v>
      </c>
      <c r="B13" s="205">
        <f>'May2025 '!B13+1.25- (COUNTIF(E13:AH13, "VL") * 1) - (COUNTIF(E13:AH13, "HDL") * 0.5)</f>
        <v>8.75</v>
      </c>
      <c r="C13" s="206">
        <f>'May2025 '!C13+0.416-COUNTIF(E13:AH13, "SL")-(COUNTIF(E13:AH13, "HDSL") * 0.5)</f>
        <v>1.9159999999999959</v>
      </c>
      <c r="D13" s="207">
        <f>'May2025 '!D15-COUNTIF(E13:AH13, "SPL")</f>
        <v>0</v>
      </c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 t="s">
        <v>173</v>
      </c>
      <c r="AC13" s="198"/>
      <c r="AD13" s="198"/>
      <c r="AE13" s="198"/>
      <c r="AF13" s="198"/>
      <c r="AG13" s="198"/>
      <c r="AH13" s="198"/>
      <c r="AJ13" s="203">
        <f t="shared" si="0"/>
        <v>1</v>
      </c>
    </row>
    <row r="14" spans="1:36" ht="17.25" customHeight="1" x14ac:dyDescent="0.2">
      <c r="A14" s="209" t="s">
        <v>151</v>
      </c>
      <c r="B14" s="205">
        <f>'May2025 '!B14+1.25- (COUNTIF(E14:AH14, "VL") * 1) - (COUNTIF(E14:AH14, "HDL") * 0.5)</f>
        <v>13.75</v>
      </c>
      <c r="C14" s="206">
        <f>'May2025 '!C14-COUNTIF(E14:AH14, "SL")-(COUNTIF(E14:AH14, "HDSL") * 0.5)</f>
        <v>0.5</v>
      </c>
      <c r="D14" s="207">
        <f>'May2025 '!D14-COUNTIF(E14:AH14, "SPL")</f>
        <v>0</v>
      </c>
      <c r="E14" s="208"/>
      <c r="F14" s="208"/>
      <c r="G14" s="210"/>
      <c r="H14" s="208" t="s">
        <v>174</v>
      </c>
      <c r="I14" s="208"/>
      <c r="J14" s="208"/>
      <c r="K14" s="208"/>
      <c r="L14" s="208"/>
      <c r="M14" s="208"/>
      <c r="N14" s="208" t="s">
        <v>174</v>
      </c>
      <c r="O14" s="208"/>
      <c r="P14" s="208"/>
      <c r="Q14" s="208"/>
      <c r="R14" s="208"/>
      <c r="S14" s="208"/>
      <c r="T14" s="208"/>
      <c r="U14" s="208"/>
      <c r="V14" s="208" t="s">
        <v>172</v>
      </c>
      <c r="W14" s="208"/>
      <c r="X14" s="208"/>
      <c r="Y14" s="208"/>
      <c r="Z14" s="208"/>
      <c r="AA14" s="208" t="s">
        <v>172</v>
      </c>
      <c r="AB14" s="208" t="s">
        <v>172</v>
      </c>
      <c r="AC14" s="208"/>
      <c r="AD14" s="208"/>
      <c r="AE14" s="208"/>
      <c r="AF14" s="208"/>
      <c r="AG14" s="208"/>
      <c r="AH14" s="208"/>
      <c r="AJ14" s="203">
        <f t="shared" si="0"/>
        <v>0</v>
      </c>
    </row>
    <row r="15" spans="1:36" ht="17.25" customHeight="1" x14ac:dyDescent="0.2">
      <c r="A15" s="209" t="s">
        <v>180</v>
      </c>
      <c r="B15" s="205">
        <f>'May2025 '!B15+1.25- (COUNTIF(E15:AH15, "VL") * 1) - (COUNTIF(E15:AH15, "HDL") * 0.5)</f>
        <v>9</v>
      </c>
      <c r="C15" s="206">
        <f>'May2025 '!C15-COUNTIF(E15:AH15, "SL")-(COUNTIF(E15:AH15, "HDSL") * 0.5)</f>
        <v>5</v>
      </c>
      <c r="D15" s="207">
        <f>'May2025 '!D17-COUNTIF(E15:AH15, "SPL")</f>
        <v>0</v>
      </c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208"/>
      <c r="AD15" s="208"/>
      <c r="AE15" s="208"/>
      <c r="AF15" s="208"/>
      <c r="AG15" s="208"/>
      <c r="AH15" s="208"/>
      <c r="AJ15" s="203">
        <f t="shared" si="0"/>
        <v>0</v>
      </c>
    </row>
    <row r="16" spans="1:36" ht="17.25" customHeight="1" x14ac:dyDescent="0.2">
      <c r="A16" s="209" t="s">
        <v>181</v>
      </c>
      <c r="B16" s="205">
        <f>'May2025 '!B16+1.25- (COUNTIF(E16:AH16, "VL") * 1) - (COUNTIF(E16:AH16, "HDL") * 0.5)</f>
        <v>5</v>
      </c>
      <c r="C16" s="206">
        <f>'May2025 '!C16-COUNTIF(E16:AH16, "SL")-(COUNTIF(E16:AH16, "HDSL") * 0.5)</f>
        <v>0</v>
      </c>
      <c r="D16" s="207">
        <f>'May2025 '!D18-COUNTIF(E16:AH16, "SPL")</f>
        <v>0</v>
      </c>
      <c r="E16" s="208"/>
      <c r="F16" s="208"/>
      <c r="G16" s="208"/>
      <c r="H16" s="208" t="s">
        <v>172</v>
      </c>
      <c r="I16" s="208"/>
      <c r="J16" s="208"/>
      <c r="K16" s="208"/>
      <c r="L16" s="208"/>
      <c r="M16" s="208"/>
      <c r="N16" s="208" t="s">
        <v>172</v>
      </c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 t="s">
        <v>172</v>
      </c>
      <c r="AA16" s="208" t="s">
        <v>172</v>
      </c>
      <c r="AB16" s="208"/>
      <c r="AC16" s="208"/>
      <c r="AD16" s="208"/>
      <c r="AE16" s="208"/>
      <c r="AF16" s="208"/>
      <c r="AG16" s="208"/>
      <c r="AH16" s="208"/>
      <c r="AJ16" s="203">
        <f t="shared" si="0"/>
        <v>0</v>
      </c>
    </row>
    <row r="17" spans="1:36" ht="17.25" customHeight="1" x14ac:dyDescent="0.2">
      <c r="A17" s="209" t="s">
        <v>221</v>
      </c>
      <c r="B17" s="205">
        <f>'May2025 '!B17+1.25- (COUNTIF(E17:AH17, "VL") * 1) - (COUNTIF(E17:AH17, "HDL") * 0.5)</f>
        <v>9</v>
      </c>
      <c r="C17" s="206">
        <f>'May2025 '!C17+0.416666666666666-COUNTIF(E17:AH17, "SL")-(COUNTIF(E17:AH17, "HDSL") * 0.5)</f>
        <v>3.1619999999999981</v>
      </c>
      <c r="D17" s="207">
        <f>'May2025 '!D19-COUNTIF(E17:AH17, "SPL")</f>
        <v>0</v>
      </c>
      <c r="E17" s="208"/>
      <c r="F17" s="208"/>
      <c r="G17" s="208"/>
      <c r="H17" s="208"/>
      <c r="I17" s="208"/>
      <c r="J17" s="208"/>
      <c r="K17" s="208" t="s">
        <v>172</v>
      </c>
      <c r="L17" s="208"/>
      <c r="M17" s="208"/>
      <c r="N17" s="208"/>
      <c r="O17" s="208"/>
      <c r="P17" s="208"/>
      <c r="Q17" s="208"/>
      <c r="R17" s="208"/>
      <c r="S17" s="208"/>
      <c r="T17" s="208"/>
      <c r="U17" s="208" t="s">
        <v>173</v>
      </c>
      <c r="V17" s="208"/>
      <c r="W17" s="208"/>
      <c r="X17" s="208"/>
      <c r="Y17" s="208"/>
      <c r="Z17" s="208"/>
      <c r="AA17" s="208"/>
      <c r="AB17" s="208"/>
      <c r="AC17" s="208"/>
      <c r="AD17" s="208"/>
      <c r="AE17" s="208"/>
      <c r="AF17" s="208"/>
      <c r="AG17" s="211"/>
      <c r="AH17" s="211"/>
      <c r="AJ17" s="203">
        <f t="shared" si="0"/>
        <v>1</v>
      </c>
    </row>
    <row r="18" spans="1:36" ht="17.25" customHeight="1" x14ac:dyDescent="0.2">
      <c r="A18" s="209" t="s">
        <v>152</v>
      </c>
      <c r="B18" s="205">
        <f>'May2025 '!B18+1.25- (COUNTIF(E18:AH18, "VL") * 1) - (COUNTIF(E18:AH18, "HDL") * 0.5)</f>
        <v>10.625</v>
      </c>
      <c r="C18" s="206">
        <f>'May2025 '!C18-COUNTIF(E18:AH18, "SL")-(COUNTIF(E18:AH18, "HDSL") * 0.5)</f>
        <v>2</v>
      </c>
      <c r="D18" s="207">
        <f>'May2025 '!D20-COUNTIF(E18:AH18, "SPL")</f>
        <v>0</v>
      </c>
      <c r="E18" s="208"/>
      <c r="F18" s="208"/>
      <c r="G18" s="208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 t="s">
        <v>172</v>
      </c>
      <c r="AB18" s="208"/>
      <c r="AC18" s="208"/>
      <c r="AD18" s="208"/>
      <c r="AE18" s="208"/>
      <c r="AF18" s="208"/>
      <c r="AG18" s="208"/>
      <c r="AH18" s="208"/>
      <c r="AJ18" s="203">
        <f t="shared" si="0"/>
        <v>0</v>
      </c>
    </row>
    <row r="19" spans="1:36" ht="17.25" customHeight="1" x14ac:dyDescent="0.2">
      <c r="A19" s="209" t="s">
        <v>170</v>
      </c>
      <c r="B19" s="205">
        <f>'May2025 '!B19+1.25- (COUNTIF(E19:AH19, "VL") * 1) - (COUNTIF(E19:AH19, "HDL") * 0.5)</f>
        <v>6.5</v>
      </c>
      <c r="C19" s="206">
        <f>'May2025 '!C19-COUNTIF(E19:AH19, "SL")-(COUNTIF(E19:AH19, "HDSL") * 0.5)</f>
        <v>0</v>
      </c>
      <c r="D19" s="207">
        <f>'May2025 '!D21-COUNTIF(E19:AH19, "SPL")</f>
        <v>0</v>
      </c>
      <c r="E19" s="208"/>
      <c r="F19" s="208"/>
      <c r="G19" s="208"/>
      <c r="H19" s="208"/>
      <c r="I19" s="208" t="s">
        <v>172</v>
      </c>
      <c r="J19" s="208"/>
      <c r="K19" s="208"/>
      <c r="L19" s="208"/>
      <c r="M19" s="208"/>
      <c r="N19" s="208" t="s">
        <v>172</v>
      </c>
      <c r="O19" s="208" t="s">
        <v>172</v>
      </c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 t="s">
        <v>182</v>
      </c>
      <c r="AC19" s="208" t="s">
        <v>173</v>
      </c>
      <c r="AD19" s="208"/>
      <c r="AE19" s="208"/>
      <c r="AF19" s="208"/>
      <c r="AG19" s="208"/>
      <c r="AH19" s="208"/>
      <c r="AJ19" s="203">
        <f t="shared" si="0"/>
        <v>1</v>
      </c>
    </row>
    <row r="20" spans="1:36" ht="17.25" customHeight="1" x14ac:dyDescent="0.2">
      <c r="A20" s="212" t="s">
        <v>334</v>
      </c>
      <c r="B20" s="205">
        <f>'May2025 '!B20+1.25- (COUNTIF(E20:AH20, "VL") * 1) - (COUNTIF(E20:AH20, "HDL") * 0.5)</f>
        <v>10</v>
      </c>
      <c r="C20" s="206">
        <f>'May2025 '!C20+0.416666666666666-COUNTIF(E20:AH20, "SL")-(COUNTIF(E20:AH20, "HDSL") * 0.5)</f>
        <v>2.3333333333333282</v>
      </c>
      <c r="D20" s="207">
        <f>'May2025 '!D22-COUNTIF(E20:AH20, "SPL")</f>
        <v>0</v>
      </c>
      <c r="E20" s="208"/>
      <c r="F20" s="208"/>
      <c r="G20" s="208"/>
      <c r="H20" s="208"/>
      <c r="I20" s="208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  <c r="AD20" s="208"/>
      <c r="AE20" s="208"/>
      <c r="AF20" s="208"/>
      <c r="AG20" s="208"/>
      <c r="AH20" s="208"/>
      <c r="AJ20" s="203">
        <f t="shared" si="0"/>
        <v>0</v>
      </c>
    </row>
    <row r="21" spans="1:36" ht="17.25" customHeight="1" x14ac:dyDescent="0.2">
      <c r="A21" s="209" t="s">
        <v>145</v>
      </c>
      <c r="B21" s="205">
        <f>'May2025 '!B21+1.25- (COUNTIF(E21:AH21, "VL") * 1) - (COUNTIF(E21:AH21, "HDL") * 0.5)</f>
        <v>3.25</v>
      </c>
      <c r="C21" s="206">
        <f>'May2025 '!C21-COUNTIF(E21:AH21, "SL")-(COUNTIF(E21:AH21, "HDSL") * 0.5)</f>
        <v>1</v>
      </c>
      <c r="D21" s="207">
        <f>'May2025 '!D23-COUNTIF(E21:AH21, "SPL")</f>
        <v>0</v>
      </c>
      <c r="E21" s="208"/>
      <c r="F21" s="208"/>
      <c r="G21" s="208"/>
      <c r="H21" s="208"/>
      <c r="I21" s="208"/>
      <c r="J21" s="208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  <c r="AD21" s="208"/>
      <c r="AE21" s="208"/>
      <c r="AF21" s="208"/>
      <c r="AG21" s="208"/>
      <c r="AH21" s="208"/>
      <c r="AJ21" s="203">
        <f t="shared" si="0"/>
        <v>0</v>
      </c>
    </row>
    <row r="22" spans="1:36" ht="17.25" customHeight="1" x14ac:dyDescent="0.2">
      <c r="A22" s="209" t="s">
        <v>349</v>
      </c>
      <c r="B22" s="205">
        <f>'May2025 '!B22+1.25- (COUNTIF(E22:AH22, "VL") * 1) - (COUNTIF(E22:AH22, "HDL") * 0.5)</f>
        <v>8.75</v>
      </c>
      <c r="C22" s="206">
        <f>'May2025 '!C22+0.416-COUNTIF(E22:AH22, "SL")-(COUNTIF(E22:AH22, "HDSL") * 0.5)</f>
        <v>2.9159999999999959</v>
      </c>
      <c r="D22" s="207">
        <f>'May2025 '!D24-COUNTIF(E22:AH22, "SPL")</f>
        <v>0</v>
      </c>
      <c r="E22" s="208"/>
      <c r="F22" s="208"/>
      <c r="G22" s="208"/>
      <c r="H22" s="208"/>
      <c r="I22" s="208"/>
      <c r="J22" s="208"/>
      <c r="K22" s="208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208"/>
      <c r="AG22" s="208"/>
      <c r="AH22" s="208"/>
      <c r="AJ22" s="203">
        <f t="shared" si="0"/>
        <v>0</v>
      </c>
    </row>
    <row r="23" spans="1:36" ht="17.25" customHeight="1" x14ac:dyDescent="0.2">
      <c r="A23" s="209" t="s">
        <v>150</v>
      </c>
      <c r="B23" s="205">
        <f>'May2025 '!B23+1.25- (COUNTIF(E23:AH23, "VL") * 1) - (COUNTIF(E23:AH23, "HDL") * 0.5)</f>
        <v>2.75</v>
      </c>
      <c r="C23" s="206">
        <f>'May2025 '!C23-COUNTIF(E23:AH23, "SL")-(COUNTIF(E23:AH23, "HDSL") * 0.5)</f>
        <v>0</v>
      </c>
      <c r="D23" s="207">
        <f>'May2025 '!D26-COUNTIF(E23:AH23, "SPL")</f>
        <v>0</v>
      </c>
      <c r="E23" s="208"/>
      <c r="F23" s="208"/>
      <c r="G23" s="208" t="s">
        <v>172</v>
      </c>
      <c r="H23" s="208" t="s">
        <v>172</v>
      </c>
      <c r="I23" s="208"/>
      <c r="J23" s="208"/>
      <c r="K23" s="208"/>
      <c r="L23" s="208"/>
      <c r="M23" s="208"/>
      <c r="N23" s="208"/>
      <c r="O23" s="208"/>
      <c r="P23" s="198"/>
      <c r="Q23" s="208"/>
      <c r="R23" s="208"/>
      <c r="S23" s="208"/>
      <c r="T23" s="208"/>
      <c r="U23" s="208"/>
      <c r="V23" s="208"/>
      <c r="W23" s="208"/>
      <c r="X23" s="208"/>
      <c r="Y23" s="208"/>
      <c r="Z23" s="208" t="s">
        <v>172</v>
      </c>
      <c r="AA23" s="208" t="s">
        <v>172</v>
      </c>
      <c r="AB23" s="208"/>
      <c r="AC23" s="208"/>
      <c r="AD23" s="208"/>
      <c r="AE23" s="208"/>
      <c r="AF23" s="208"/>
      <c r="AG23" s="208"/>
      <c r="AH23" s="208" t="s">
        <v>172</v>
      </c>
      <c r="AJ23" s="203">
        <f t="shared" si="0"/>
        <v>0</v>
      </c>
    </row>
    <row r="24" spans="1:36" ht="17.25" customHeight="1" x14ac:dyDescent="0.2">
      <c r="A24" s="209" t="s">
        <v>147</v>
      </c>
      <c r="B24" s="205">
        <f>'May2025 '!B24+1.25- (COUNTIF(E24:AH24, "VL") * 1) - (COUNTIF(E24:AH24, "HDL") * 0.5)</f>
        <v>5.5</v>
      </c>
      <c r="C24" s="206">
        <f>'May2025 '!C24-COUNTIF(E24:AH24, "SL")-(COUNTIF(E24:AH24, "HDSL") * 0.5)</f>
        <v>5</v>
      </c>
      <c r="D24" s="207">
        <f>'May2025 '!D27-COUNTIF(E24:AH24, "SPL")</f>
        <v>4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198"/>
      <c r="Q24" s="208"/>
      <c r="R24" s="208"/>
      <c r="S24" s="208"/>
      <c r="T24" s="208" t="s">
        <v>172</v>
      </c>
      <c r="U24" s="208"/>
      <c r="V24" s="208"/>
      <c r="W24" s="208"/>
      <c r="X24" s="208" t="s">
        <v>172</v>
      </c>
      <c r="Y24" s="208"/>
      <c r="Z24" s="208"/>
      <c r="AA24" s="208"/>
      <c r="AB24" s="208"/>
      <c r="AC24" s="208" t="s">
        <v>172</v>
      </c>
      <c r="AD24" s="208"/>
      <c r="AE24" s="208" t="s">
        <v>182</v>
      </c>
      <c r="AF24" s="208"/>
      <c r="AG24" s="208"/>
      <c r="AH24" s="208"/>
      <c r="AJ24" s="203">
        <f t="shared" si="0"/>
        <v>0</v>
      </c>
    </row>
    <row r="25" spans="1:36" ht="17.25" customHeight="1" x14ac:dyDescent="0.2">
      <c r="A25" s="209" t="s">
        <v>168</v>
      </c>
      <c r="B25" s="205">
        <f>'May2025 '!B25+1.25- (COUNTIF(E25:AH25, "VL") * 1) - (COUNTIF(E25:AH25, "HDL") * 0.5)</f>
        <v>0.5</v>
      </c>
      <c r="C25" s="206">
        <f>'May2025 '!C25-COUNTIF(E25:AH25, "SL")-(COUNTIF(E25:AH25, "HDSL") * 0.5)</f>
        <v>0.5</v>
      </c>
      <c r="D25" s="207">
        <v>0</v>
      </c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 t="s">
        <v>172</v>
      </c>
      <c r="X25" s="208"/>
      <c r="Y25" s="208"/>
      <c r="Z25" s="208"/>
      <c r="AA25" s="208" t="s">
        <v>172</v>
      </c>
      <c r="AB25" s="208" t="s">
        <v>172</v>
      </c>
      <c r="AC25" s="208" t="s">
        <v>172</v>
      </c>
      <c r="AD25" s="208" t="s">
        <v>172</v>
      </c>
      <c r="AE25" s="208"/>
      <c r="AF25" s="208"/>
      <c r="AG25" s="208"/>
      <c r="AH25" s="208"/>
      <c r="AJ25" s="203">
        <f t="shared" si="0"/>
        <v>0</v>
      </c>
    </row>
    <row r="26" spans="1:36" ht="17.25" customHeight="1" x14ac:dyDescent="0.2">
      <c r="A26" s="209" t="s">
        <v>156</v>
      </c>
      <c r="B26" s="205">
        <f>'May2025 '!B26+1.25- (COUNTIF(E26:AH26, "VL") * 1) - (COUNTIF(E26:AH26, "HDL") * 0.5)</f>
        <v>3.25</v>
      </c>
      <c r="C26" s="206">
        <f>'May2025 '!C26-COUNTIF(E26:AH26, "SL")-(COUNTIF(E26:AH26, "HDSL") * 0.5)</f>
        <v>2</v>
      </c>
      <c r="D26" s="207">
        <f>'May2025 '!D30-COUNTIF(E26:AH26, "SPL")</f>
        <v>0</v>
      </c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 t="s">
        <v>182</v>
      </c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8"/>
      <c r="AJ26" s="203">
        <f t="shared" si="0"/>
        <v>0</v>
      </c>
    </row>
    <row r="27" spans="1:36" ht="17.25" customHeight="1" x14ac:dyDescent="0.2">
      <c r="A27" s="209" t="s">
        <v>183</v>
      </c>
      <c r="B27" s="205">
        <f>'May2025 '!B27+1.25- (COUNTIF(E27:AH27, "VL") * 1) - (COUNTIF(E27:AH27, "HDL") * 0.5)</f>
        <v>4.5</v>
      </c>
      <c r="C27" s="206">
        <f>'May2025 '!C27-COUNTIF(E27:AH27, "SL")-(COUNTIF(E27:AH27, "HDSL") * 0.5)</f>
        <v>2</v>
      </c>
      <c r="D27" s="207">
        <f>'May2025 '!D27-COUNTIF(E27:AH27, "SPL")</f>
        <v>4</v>
      </c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8"/>
      <c r="AJ27" s="203">
        <f t="shared" si="0"/>
        <v>0</v>
      </c>
    </row>
    <row r="28" spans="1:36" ht="17.25" customHeight="1" x14ac:dyDescent="0.2">
      <c r="A28" s="209" t="s">
        <v>350</v>
      </c>
      <c r="B28" s="205">
        <f>'May2025 '!B28+1.25- (COUNTIF(E28:AH28, "VL") * 1) - (COUNTIF(E28:AH28, "HDL") * 0.5)</f>
        <v>8.75</v>
      </c>
      <c r="C28" s="206">
        <f>'May2025 '!C28+0.416666666666666-COUNTIF(E28:AH28, "SL")-(COUNTIF(E28:AH28, "HDSL") * 0.5)</f>
        <v>2.9166666666666621</v>
      </c>
      <c r="D28" s="207">
        <f>'May2025 '!D33-COUNTIF(E28:AH28, "SPL")</f>
        <v>0</v>
      </c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08"/>
      <c r="AJ28" s="203">
        <f t="shared" si="0"/>
        <v>0</v>
      </c>
    </row>
    <row r="29" spans="1:36" ht="17.25" customHeight="1" x14ac:dyDescent="0.2">
      <c r="A29" s="209" t="s">
        <v>146</v>
      </c>
      <c r="B29" s="205">
        <f>'May2025 '!B29+1.25- (COUNTIF(E29:AH29, "VL") * 1) - (COUNTIF(E29:AH29, "HDL") * 0.5)</f>
        <v>7</v>
      </c>
      <c r="C29" s="206">
        <f>'May2025 '!C29-COUNTIF(E29:AH29, "SL")-(COUNTIF(E29:AH29, "HDSL") * 0.5)</f>
        <v>1</v>
      </c>
      <c r="D29" s="207">
        <f>'May2025 '!D29-COUNTIF(E29:AH29, "SPL")</f>
        <v>0</v>
      </c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208" t="s">
        <v>172</v>
      </c>
      <c r="AJ29" s="203">
        <f t="shared" si="0"/>
        <v>0</v>
      </c>
    </row>
    <row r="30" spans="1:36" ht="17.25" customHeight="1" x14ac:dyDescent="0.2">
      <c r="A30" s="204" t="s">
        <v>184</v>
      </c>
      <c r="B30" s="205">
        <f>'May2025 '!B30+1.25- (COUNTIF(E30:AH30, "VL") * 1) - (COUNTIF(E30:AH30, "HDL") * 0.5)</f>
        <v>6</v>
      </c>
      <c r="C30" s="206">
        <f>'May2025 '!C30-COUNTIF(E30:AH30, "SL")-(COUNTIF(E30:AH30, "HDSL") * 0.5)</f>
        <v>0</v>
      </c>
      <c r="D30" s="207">
        <f>'May2025 '!D30-COUNTIF(E30:AH30, "SPL")</f>
        <v>0</v>
      </c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8" t="s">
        <v>172</v>
      </c>
      <c r="AJ30" s="203">
        <f t="shared" si="0"/>
        <v>0</v>
      </c>
    </row>
    <row r="31" spans="1:36" ht="17.25" customHeight="1" x14ac:dyDescent="0.2">
      <c r="A31" s="213" t="s">
        <v>351</v>
      </c>
      <c r="B31" s="205">
        <f>'May2025 '!B31+1.25- (COUNTIF(E31:AH31, "VL") * 1) - (COUNTIF(E31:AH31, "HDL") * 0.5)</f>
        <v>8.75</v>
      </c>
      <c r="C31" s="206">
        <f>'May2025 '!C31+0.416666666666666-COUNTIF(E31:AH31, "SL")-(COUNTIF(E31:AH31, "HDSL") * 0.5)</f>
        <v>2.9166666666666621</v>
      </c>
      <c r="D31" s="207">
        <f>'May2025 '!D36-COUNTIF(E31:AH31, "SPL")</f>
        <v>0</v>
      </c>
      <c r="E31" s="208"/>
      <c r="F31" s="208"/>
      <c r="G31" s="208"/>
      <c r="H31" s="208"/>
      <c r="I31" s="208"/>
      <c r="J31" s="208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  <c r="AA31" s="208"/>
      <c r="AB31" s="208"/>
      <c r="AC31" s="208"/>
      <c r="AD31" s="208"/>
      <c r="AE31" s="208"/>
      <c r="AF31" s="208"/>
      <c r="AG31" s="208"/>
      <c r="AH31" s="208"/>
      <c r="AJ31" s="203">
        <f t="shared" si="0"/>
        <v>0</v>
      </c>
    </row>
    <row r="32" spans="1:36" ht="17.25" customHeight="1" x14ac:dyDescent="0.2">
      <c r="A32" s="212" t="s">
        <v>335</v>
      </c>
      <c r="B32" s="205">
        <f>'May2025 '!B32+1.25- (COUNTIF(E32:AH32, "VL") * 1) - (COUNTIF(E32:AH32, "HDL") * 0.5)</f>
        <v>10</v>
      </c>
      <c r="C32" s="206">
        <f>'May2025 '!C32+0.416666666666666-COUNTIF(E32:AH32, "SL")-(COUNTIF(E32:AH32, "HDSL") * 0.5)</f>
        <v>3.3333333333333282</v>
      </c>
      <c r="D32" s="207">
        <f>'May2025 '!D37-COUNTIF(E32:AH32, "SPL")</f>
        <v>0</v>
      </c>
      <c r="E32" s="208"/>
      <c r="F32" s="208"/>
      <c r="G32" s="208"/>
      <c r="H32" s="208"/>
      <c r="I32" s="208"/>
      <c r="J32" s="208"/>
      <c r="K32" s="208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  <c r="AA32" s="208"/>
      <c r="AB32" s="208"/>
      <c r="AC32" s="208"/>
      <c r="AD32" s="208"/>
      <c r="AE32" s="208"/>
      <c r="AF32" s="208"/>
      <c r="AG32" s="208"/>
      <c r="AH32" s="208"/>
      <c r="AJ32" s="203">
        <f t="shared" si="0"/>
        <v>0</v>
      </c>
    </row>
    <row r="33" spans="1:36" ht="17.25" customHeight="1" x14ac:dyDescent="0.2">
      <c r="A33" s="212" t="s">
        <v>336</v>
      </c>
      <c r="B33" s="205">
        <f>'May2025 '!B33+1.25- (COUNTIF(E33:AH33, "VL") * 1) - (COUNTIF(E33:AH33, "HDL") * 0.5)</f>
        <v>8</v>
      </c>
      <c r="C33" s="206">
        <f>'May2025 '!C33+0.416666666666666-COUNTIF(E33:AH33, "SL")-(COUNTIF(E33:AH33, "HDSL") * 0.5)</f>
        <v>1.3333333333333282</v>
      </c>
      <c r="D33" s="207">
        <f>'May2025 '!D33-COUNTIF(E33:AH33, "SPL")</f>
        <v>0</v>
      </c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 t="s">
        <v>172</v>
      </c>
      <c r="AD33" s="208"/>
      <c r="AE33" s="208"/>
      <c r="AF33" s="208"/>
      <c r="AG33" s="208"/>
      <c r="AH33" s="208"/>
      <c r="AJ33" s="203">
        <f t="shared" si="0"/>
        <v>0</v>
      </c>
    </row>
    <row r="34" spans="1:36" ht="17.25" customHeight="1" x14ac:dyDescent="0.2">
      <c r="A34" s="204" t="s">
        <v>157</v>
      </c>
      <c r="B34" s="205">
        <f>'May2025 '!B34+1.25- (COUNTIF(E34:AH34, "VL") * 1) - (COUNTIF(E34:AH34, "HDL") * 0.5)</f>
        <v>8.25</v>
      </c>
      <c r="C34" s="206">
        <f>'May2025 '!C34-COUNTIF(E34:AH34, "SL")-(COUNTIF(E34:AH34, "HDSL") * 0.5)</f>
        <v>1</v>
      </c>
      <c r="D34" s="207">
        <f>'May2025 '!D39-COUNTIF(E34:AH34, "SPL")</f>
        <v>0</v>
      </c>
      <c r="E34" s="208"/>
      <c r="F34" s="208"/>
      <c r="G34" s="208"/>
      <c r="H34" s="208"/>
      <c r="I34" s="208" t="s">
        <v>172</v>
      </c>
      <c r="J34" s="208"/>
      <c r="K34" s="208"/>
      <c r="L34" s="208"/>
      <c r="M34" s="208"/>
      <c r="N34" s="208"/>
      <c r="O34" s="208" t="s">
        <v>172</v>
      </c>
      <c r="P34" s="208"/>
      <c r="Q34" s="208"/>
      <c r="R34" s="208"/>
      <c r="S34" s="208"/>
      <c r="T34" s="208"/>
      <c r="U34" s="208"/>
      <c r="V34" s="208"/>
      <c r="W34" s="208"/>
      <c r="X34" s="208"/>
      <c r="Y34" s="208"/>
      <c r="Z34" s="208"/>
      <c r="AA34" s="208"/>
      <c r="AB34" s="208"/>
      <c r="AC34" s="208"/>
      <c r="AD34" s="208"/>
      <c r="AE34" s="208"/>
      <c r="AF34" s="208"/>
      <c r="AG34" s="208"/>
      <c r="AH34" s="208"/>
      <c r="AJ34" s="203">
        <f t="shared" si="0"/>
        <v>0</v>
      </c>
    </row>
    <row r="35" spans="1:36" ht="17.25" customHeight="1" x14ac:dyDescent="0.2">
      <c r="A35" s="204" t="s">
        <v>161</v>
      </c>
      <c r="B35" s="205">
        <f>'May2025 '!B35+1.25- (COUNTIF(E35:AH35, "VL") * 1) - (COUNTIF(E35:AH35, "HDL") * 0.5)</f>
        <v>1.5</v>
      </c>
      <c r="C35" s="206">
        <f>'May2025 '!C35-COUNTIF(E35:AH35, "SL")-(COUNTIF(E35:AH35, "HDSL") * 0.5)</f>
        <v>0</v>
      </c>
      <c r="D35" s="207">
        <f>'May2025 '!D40-COUNTIF(E35:AH35, "SPL")</f>
        <v>0</v>
      </c>
      <c r="E35" s="208"/>
      <c r="F35" s="208"/>
      <c r="G35" s="208"/>
      <c r="H35" s="208"/>
      <c r="I35" s="208"/>
      <c r="J35" s="208"/>
      <c r="K35" s="208"/>
      <c r="L35" s="208"/>
      <c r="M35" s="208"/>
      <c r="N35" s="208" t="s">
        <v>172</v>
      </c>
      <c r="O35" s="208"/>
      <c r="P35" s="208"/>
      <c r="Q35" s="208"/>
      <c r="R35" s="208"/>
      <c r="S35" s="208"/>
      <c r="T35" s="208"/>
      <c r="U35" s="208"/>
      <c r="V35" s="208" t="s">
        <v>182</v>
      </c>
      <c r="W35" s="208"/>
      <c r="X35" s="208"/>
      <c r="Y35" s="208"/>
      <c r="Z35" s="208"/>
      <c r="AA35" s="208"/>
      <c r="AB35" s="208"/>
      <c r="AC35" s="208"/>
      <c r="AD35" s="208"/>
      <c r="AE35" s="208"/>
      <c r="AF35" s="208"/>
      <c r="AG35" s="208"/>
      <c r="AH35" s="208" t="s">
        <v>182</v>
      </c>
      <c r="AJ35" s="203">
        <f t="shared" si="0"/>
        <v>0</v>
      </c>
    </row>
    <row r="36" spans="1:36" ht="17.25" customHeight="1" x14ac:dyDescent="0.2">
      <c r="A36" s="209" t="s">
        <v>338</v>
      </c>
      <c r="B36" s="205">
        <f>'May2025 '!B36+1.25- (COUNTIF(E36:AH36, "VL") * 1) - (COUNTIF(E36:AH36, "HDL") * 0.5)</f>
        <v>9</v>
      </c>
      <c r="C36" s="206">
        <f>'May2025 '!C36+0.416666666666666-COUNTIF(E36:AH36, "SL")-(COUNTIF(E36:AH36, "HDSL") * 0.5)</f>
        <v>3.3333333333333282</v>
      </c>
      <c r="D36" s="207">
        <f>'May2025 '!D41-COUNTIF(E36:AH36, "SPL")</f>
        <v>0</v>
      </c>
      <c r="E36" s="208"/>
      <c r="F36" s="208"/>
      <c r="G36" s="208"/>
      <c r="H36" s="208"/>
      <c r="I36" s="208"/>
      <c r="J36" s="208"/>
      <c r="K36" s="208"/>
      <c r="L36" s="208"/>
      <c r="M36" s="208"/>
      <c r="N36" s="208" t="s">
        <v>172</v>
      </c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  <c r="AA36" s="208"/>
      <c r="AB36" s="208"/>
      <c r="AC36" s="208"/>
      <c r="AD36" s="208"/>
      <c r="AE36" s="208"/>
      <c r="AF36" s="208"/>
      <c r="AG36" s="208"/>
      <c r="AH36" s="208"/>
      <c r="AJ36" s="203">
        <f t="shared" si="0"/>
        <v>0</v>
      </c>
    </row>
    <row r="37" spans="1:36" ht="17.25" customHeight="1" x14ac:dyDescent="0.2">
      <c r="A37" s="209" t="s">
        <v>167</v>
      </c>
      <c r="B37" s="205">
        <f>'May2025 '!B37+1.25- (COUNTIF(E37:AH37, "VL") * 1) - (COUNTIF(E37:AH37, "HDL") * 0.5)</f>
        <v>10.75</v>
      </c>
      <c r="C37" s="206">
        <f>'May2025 '!C37-COUNTIF(E37:AH37, "SL")-(COUNTIF(E37:AH37, "HDSL") * 0.5)</f>
        <v>3</v>
      </c>
      <c r="D37" s="207">
        <f>'May2025 '!D42-COUNTIF(E37:AH37, "SPL")</f>
        <v>0</v>
      </c>
      <c r="E37" s="208"/>
      <c r="F37" s="208"/>
      <c r="G37" s="208"/>
      <c r="H37" s="208"/>
      <c r="I37" s="208"/>
      <c r="J37" s="208"/>
      <c r="K37" s="208"/>
      <c r="L37" s="208"/>
      <c r="M37" s="208"/>
      <c r="N37" s="208"/>
      <c r="O37" s="208"/>
      <c r="P37" s="208"/>
      <c r="Q37" s="208"/>
      <c r="R37" s="208"/>
      <c r="S37" s="208"/>
      <c r="T37" s="208"/>
      <c r="U37" s="214" t="s">
        <v>352</v>
      </c>
      <c r="V37" s="214" t="s">
        <v>352</v>
      </c>
      <c r="W37" s="214" t="s">
        <v>352</v>
      </c>
      <c r="X37" s="214" t="s">
        <v>172</v>
      </c>
      <c r="Y37" s="208"/>
      <c r="Z37" s="208"/>
      <c r="AA37" s="208"/>
      <c r="AB37" s="208"/>
      <c r="AC37" s="208"/>
      <c r="AD37" s="208"/>
      <c r="AE37" s="208"/>
      <c r="AF37" s="208"/>
      <c r="AG37" s="208"/>
      <c r="AH37" s="208"/>
      <c r="AJ37" s="203">
        <f t="shared" si="0"/>
        <v>0</v>
      </c>
    </row>
    <row r="38" spans="1:36" ht="17.25" customHeight="1" x14ac:dyDescent="0.2">
      <c r="A38" s="209" t="s">
        <v>353</v>
      </c>
      <c r="B38" s="205">
        <f>'May2025 '!B38+1.25- (COUNTIF(E38:AH38, "VL") * 1) - (COUNTIF(E38:AH38, "HDL") * 0.5)</f>
        <v>8.75</v>
      </c>
      <c r="C38" s="206">
        <f>'May2025 '!C38+0.416666666666666-COUNTIF(E38:AH38, "SL")-(COUNTIF(E38:AH38, "HDSL") * 0.5)</f>
        <v>1.9166666666666621</v>
      </c>
      <c r="D38" s="207">
        <f>'May2025 '!D43-COUNTIF(E38:AH38, "SPL")</f>
        <v>0</v>
      </c>
      <c r="E38" s="208"/>
      <c r="F38" s="208"/>
      <c r="G38" s="208"/>
      <c r="H38" s="208"/>
      <c r="I38" s="208"/>
      <c r="J38" s="208"/>
      <c r="K38" s="208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  <c r="AA38" s="208"/>
      <c r="AB38" s="208"/>
      <c r="AC38" s="208"/>
      <c r="AD38" s="208"/>
      <c r="AE38" s="208" t="s">
        <v>173</v>
      </c>
      <c r="AF38" s="208"/>
      <c r="AG38" s="211"/>
      <c r="AH38" s="211"/>
      <c r="AJ38" s="203">
        <f t="shared" si="0"/>
        <v>1</v>
      </c>
    </row>
    <row r="39" spans="1:36" ht="17.25" customHeight="1" x14ac:dyDescent="0.2">
      <c r="A39" s="204" t="s">
        <v>159</v>
      </c>
      <c r="B39" s="205">
        <f>'May2025 '!B39+1.25- (COUNTIF(E39:AH39, "VL") * 1) - (COUNTIF(E39:AH39, "HDL") * 0.5)</f>
        <v>7.5</v>
      </c>
      <c r="C39" s="206">
        <f>'May2025 '!C39-COUNTIF(E39:AH39, "SL")-(COUNTIF(E39:AH39, "HDSL") * 0.5)</f>
        <v>3</v>
      </c>
      <c r="D39" s="207">
        <f>'May2025 '!D45-COUNTIF(E39:AH39, "SPL")</f>
        <v>0</v>
      </c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08"/>
      <c r="AD39" s="208"/>
      <c r="AE39" s="208"/>
      <c r="AF39" s="208"/>
      <c r="AG39" s="208"/>
      <c r="AH39" s="208"/>
      <c r="AJ39" s="203">
        <f t="shared" si="0"/>
        <v>0</v>
      </c>
    </row>
    <row r="40" spans="1:36" ht="17.25" customHeight="1" x14ac:dyDescent="0.2">
      <c r="A40" s="204" t="s">
        <v>223</v>
      </c>
      <c r="B40" s="205">
        <f>'May2025 '!B40+1.25- (COUNTIF(E40:AH40, "VL") * 1) - (COUNTIF(E40:AH40, "HDL") * 0.5)</f>
        <v>6.5</v>
      </c>
      <c r="C40" s="206">
        <f>'May2025 '!C40+0.416666666666666-COUNTIF(E40:AH40, "SL")-(COUNTIF(E40:AH40, "HDSL") * 0.5)</f>
        <v>3.1626666666666643</v>
      </c>
      <c r="D40" s="207">
        <f>'May2025 '!D46-COUNTIF(E40:AH40, "SPL")</f>
        <v>0</v>
      </c>
      <c r="E40" s="208"/>
      <c r="F40" s="208"/>
      <c r="G40" s="208"/>
      <c r="H40" s="208"/>
      <c r="I40" s="208"/>
      <c r="J40" s="208"/>
      <c r="K40" s="208"/>
      <c r="L40" s="208"/>
      <c r="M40" s="208"/>
      <c r="N40" s="208"/>
      <c r="O40" s="208"/>
      <c r="P40" s="208"/>
      <c r="Q40" s="208" t="s">
        <v>172</v>
      </c>
      <c r="R40" s="208"/>
      <c r="S40" s="208"/>
      <c r="T40" s="208"/>
      <c r="U40" s="208"/>
      <c r="V40" s="208"/>
      <c r="W40" s="208"/>
      <c r="X40" s="208"/>
      <c r="Y40" s="208"/>
      <c r="Z40" s="208"/>
      <c r="AA40" s="208"/>
      <c r="AB40" s="208"/>
      <c r="AC40" s="208"/>
      <c r="AD40" s="208"/>
      <c r="AE40" s="208"/>
      <c r="AF40" s="208"/>
      <c r="AG40" s="208"/>
      <c r="AH40" s="208"/>
      <c r="AJ40" s="203">
        <f t="shared" si="0"/>
        <v>0</v>
      </c>
    </row>
    <row r="41" spans="1:36" ht="17.25" customHeight="1" x14ac:dyDescent="0.2">
      <c r="A41" s="204" t="s">
        <v>185</v>
      </c>
      <c r="B41" s="205">
        <f>'May2025 '!B41+1.25- (COUNTIF(E41:AH41, "VL") * 1) - (COUNTIF(E41:AH41, "HDL") * 0.5)</f>
        <v>9</v>
      </c>
      <c r="C41" s="206">
        <f>'May2025 '!C41-COUNTIF(E41:AH41, "SL")-(COUNTIF(E41:AH41, "HDSL") * 0.5)</f>
        <v>3</v>
      </c>
      <c r="D41" s="207">
        <f>'May2025 '!D48-COUNTIF(E41:AH41, "SPL")</f>
        <v>0</v>
      </c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  <c r="AA41" s="208"/>
      <c r="AB41" s="208"/>
      <c r="AC41" s="208"/>
      <c r="AD41" s="208"/>
      <c r="AE41" s="208"/>
      <c r="AF41" s="208"/>
      <c r="AG41" s="208"/>
      <c r="AH41" s="208"/>
      <c r="AJ41" s="203">
        <f t="shared" si="0"/>
        <v>0</v>
      </c>
    </row>
    <row r="42" spans="1:36" ht="17.25" customHeight="1" x14ac:dyDescent="0.2">
      <c r="A42" s="204" t="s">
        <v>148</v>
      </c>
      <c r="B42" s="205">
        <f>'May2025 '!B42+1.25- (COUNTIF(E42:AH42, "VL") * 1) - (COUNTIF(E42:AH42, "HDL") * 0.5)</f>
        <v>6</v>
      </c>
      <c r="C42" s="206">
        <f>'May2025 '!C42-COUNTIF(E42:AH42, "SL")-(COUNTIF(E42:AH42, "HDSL") * 0.5)</f>
        <v>0.5</v>
      </c>
      <c r="D42" s="207">
        <f>'May2025 '!D49-COUNTIF(E42:AH42, "SPL")</f>
        <v>0</v>
      </c>
      <c r="E42" s="208"/>
      <c r="F42" s="208" t="s">
        <v>173</v>
      </c>
      <c r="G42" s="20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  <c r="AA42" s="208"/>
      <c r="AB42" s="208"/>
      <c r="AC42" s="208"/>
      <c r="AD42" s="208"/>
      <c r="AE42" s="208"/>
      <c r="AF42" s="208"/>
      <c r="AG42" s="208"/>
      <c r="AH42" s="208"/>
      <c r="AJ42" s="203">
        <f t="shared" si="0"/>
        <v>1</v>
      </c>
    </row>
    <row r="43" spans="1:36" ht="17.25" customHeight="1" x14ac:dyDescent="0.2">
      <c r="A43" s="204" t="s">
        <v>171</v>
      </c>
      <c r="B43" s="205">
        <f>'May2025 '!B43+1.25- (COUNTIF(E43:AH43, "VL") * 1) - (COUNTIF(E43:AH43, "HDL") * 0.5)</f>
        <v>21.5</v>
      </c>
      <c r="C43" s="206">
        <f>'May2025 '!C43-COUNTIF(E43:AH43, "SL")-(COUNTIF(E43:AH43, "HDSL") * 0.5)</f>
        <v>2</v>
      </c>
      <c r="D43" s="207">
        <f>'May2025 '!D51-COUNTIF(E43:AH43, "SPL")</f>
        <v>0</v>
      </c>
      <c r="E43" s="208"/>
      <c r="F43" s="208"/>
      <c r="G43" s="208"/>
      <c r="H43" s="208"/>
      <c r="I43" s="208" t="s">
        <v>172</v>
      </c>
      <c r="J43" s="208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 t="s">
        <v>173</v>
      </c>
      <c r="X43" s="208"/>
      <c r="Y43" s="208"/>
      <c r="Z43" s="208"/>
      <c r="AA43" s="208"/>
      <c r="AB43" s="208"/>
      <c r="AC43" s="208"/>
      <c r="AD43" s="208"/>
      <c r="AE43" s="208"/>
      <c r="AF43" s="208"/>
      <c r="AG43" s="208"/>
      <c r="AH43" s="208"/>
      <c r="AJ43" s="203">
        <f t="shared" si="0"/>
        <v>1</v>
      </c>
    </row>
    <row r="44" spans="1:36" ht="17.25" customHeight="1" x14ac:dyDescent="0.2">
      <c r="A44" s="204" t="s">
        <v>186</v>
      </c>
      <c r="B44" s="205">
        <f>'May2025 '!B44+1.25- (COUNTIF(E44:AH44, "VL") * 1) - (COUNTIF(E44:AH44, "HDL") * 0.5)</f>
        <v>10</v>
      </c>
      <c r="C44" s="206">
        <f>'May2025 '!C44-COUNTIF(E44:AH44, "SL")-(COUNTIF(E44:AH44, "HDSL") * 0.5)</f>
        <v>4.5</v>
      </c>
      <c r="D44" s="207">
        <f>'May2025 '!D52-COUNTIF(E44:AH44, "SPL")</f>
        <v>0</v>
      </c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  <c r="AA44" s="208"/>
      <c r="AB44" s="208"/>
      <c r="AC44" s="208"/>
      <c r="AD44" s="208"/>
      <c r="AE44" s="208"/>
      <c r="AF44" s="208"/>
      <c r="AG44" s="208"/>
      <c r="AH44" s="208"/>
      <c r="AJ44" s="203">
        <f t="shared" si="0"/>
        <v>0</v>
      </c>
    </row>
    <row r="45" spans="1:36" ht="15.75" customHeight="1" x14ac:dyDescent="0.2">
      <c r="A45" s="209" t="s">
        <v>188</v>
      </c>
      <c r="B45" s="205">
        <f>'May2025 '!B45+1.25- (COUNTIF(E45:AH45, "VL") * 1) - (COUNTIF(E45:AH45, "HDL") * 0.5)</f>
        <v>1.5</v>
      </c>
      <c r="C45" s="206">
        <f>'May2025 '!C45-COUNTIF(E45:AH45, "SL")-(COUNTIF(E45:AH45, "HDSL") * 0.5)</f>
        <v>0.5</v>
      </c>
      <c r="D45" s="207">
        <f>'May2025 '!D53-COUNTIF(E45:AH45, "SPL")</f>
        <v>0</v>
      </c>
      <c r="E45" s="208"/>
      <c r="F45" s="208"/>
      <c r="G45" s="208"/>
      <c r="H45" s="208"/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  <c r="AA45" s="208"/>
      <c r="AB45" s="208"/>
      <c r="AC45" s="208"/>
      <c r="AD45" s="208"/>
      <c r="AE45" s="208"/>
      <c r="AF45" s="208"/>
      <c r="AG45" s="208"/>
      <c r="AH45" s="208" t="s">
        <v>172</v>
      </c>
      <c r="AJ45" s="203">
        <f t="shared" si="0"/>
        <v>0</v>
      </c>
    </row>
    <row r="46" spans="1:36" ht="15.75" customHeight="1" x14ac:dyDescent="0.2">
      <c r="A46" s="204" t="s">
        <v>187</v>
      </c>
      <c r="B46" s="205">
        <f>'May2025 '!B46+1.25- (COUNTIF(E46:AH46, "VL") * 1) - (COUNTIF(E46:AH46, "HDL") * 0.5)</f>
        <v>8.5</v>
      </c>
      <c r="C46" s="206">
        <f>'May2025 '!C46-COUNTIF(E46:AH46, "SL")-(COUNTIF(E46:AH46, "HDSL") * 0.5)</f>
        <v>2</v>
      </c>
      <c r="D46" s="207">
        <f>'May2025 '!D54-COUNTIF(E46:AH46, "SPL")</f>
        <v>0</v>
      </c>
      <c r="E46" s="208"/>
      <c r="F46" s="208"/>
      <c r="G46" s="208"/>
      <c r="H46" s="208"/>
      <c r="I46" s="208"/>
      <c r="J46" s="208"/>
      <c r="K46" s="208"/>
      <c r="L46" s="208"/>
      <c r="M46" s="208"/>
      <c r="N46" s="208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  <c r="AA46" s="208"/>
      <c r="AB46" s="208"/>
      <c r="AC46" s="208"/>
      <c r="AD46" s="208"/>
      <c r="AE46" s="208"/>
      <c r="AF46" s="208"/>
      <c r="AG46" s="208"/>
      <c r="AH46" s="208"/>
      <c r="AJ46" s="203">
        <f t="shared" si="0"/>
        <v>0</v>
      </c>
    </row>
    <row r="47" spans="1:36" ht="15.75" customHeight="1" x14ac:dyDescent="0.2">
      <c r="A47" s="209" t="s">
        <v>219</v>
      </c>
      <c r="B47" s="205">
        <f>'May2025 '!B47+1.25- (COUNTIF(E47:AH47, "VL") * 1) - (COUNTIF(E47:AH47, "HDL") * 0.5)</f>
        <v>15.25</v>
      </c>
      <c r="C47" s="206">
        <f>'May2025 '!C47-COUNTIF(E47:AH47, "SL")-(COUNTIF(E47:AH47, "HDSL") * 0.5)</f>
        <v>7.4999999999999964</v>
      </c>
      <c r="D47" s="207">
        <f>'May2025 '!D55-COUNTIF(E47:AH47, "SPL")</f>
        <v>0</v>
      </c>
      <c r="E47" s="208"/>
      <c r="F47" s="208"/>
      <c r="G47" s="208"/>
      <c r="H47" s="208"/>
      <c r="I47" s="208"/>
      <c r="J47" s="208"/>
      <c r="K47" s="208"/>
      <c r="L47" s="208"/>
      <c r="M47" s="208"/>
      <c r="N47" s="208"/>
      <c r="O47" s="208"/>
      <c r="P47" s="208"/>
      <c r="Q47" s="208" t="s">
        <v>182</v>
      </c>
      <c r="R47" s="208"/>
      <c r="S47" s="208"/>
      <c r="T47" s="208"/>
      <c r="U47" s="208"/>
      <c r="V47" s="208"/>
      <c r="W47" s="208"/>
      <c r="X47" s="208"/>
      <c r="Y47" s="208"/>
      <c r="Z47" s="208"/>
      <c r="AA47" s="208"/>
      <c r="AB47" s="208"/>
      <c r="AC47" s="208"/>
      <c r="AD47" s="208"/>
      <c r="AE47" s="208"/>
      <c r="AF47" s="208"/>
      <c r="AG47" s="208"/>
      <c r="AH47" s="208"/>
      <c r="AJ47" s="203">
        <f t="shared" si="0"/>
        <v>0</v>
      </c>
    </row>
    <row r="48" spans="1:36" ht="15.75" customHeight="1" x14ac:dyDescent="0.2">
      <c r="A48" s="204" t="s">
        <v>154</v>
      </c>
      <c r="B48" s="205">
        <f>'May2025 '!B48+1.25- (COUNTIF(E48:AH48, "VL") * 1) - (COUNTIF(E48:AH48, "HDL") * 0.5)</f>
        <v>1.5</v>
      </c>
      <c r="C48" s="206">
        <f>'May2025 '!C48-COUNTIF(E48:AH48, "SL")-(COUNTIF(E48:AH48, "HDSL") * 0.5)</f>
        <v>3</v>
      </c>
      <c r="D48" s="207">
        <f>'May2025 '!D56-COUNTIF(E48:AH48, "SPL")</f>
        <v>0</v>
      </c>
      <c r="E48" s="208"/>
      <c r="F48" s="208"/>
      <c r="G48" s="208"/>
      <c r="H48" s="208"/>
      <c r="I48" s="208"/>
      <c r="J48" s="208"/>
      <c r="K48" s="208"/>
      <c r="L48" s="208"/>
      <c r="M48" s="208"/>
      <c r="N48" s="208"/>
      <c r="O48" s="208"/>
      <c r="P48" s="208"/>
      <c r="Q48" s="208"/>
      <c r="R48" s="208" t="s">
        <v>172</v>
      </c>
      <c r="S48" s="208"/>
      <c r="T48" s="208"/>
      <c r="U48" s="208"/>
      <c r="V48" s="208"/>
      <c r="W48" s="208"/>
      <c r="X48" s="208"/>
      <c r="Y48" s="208"/>
      <c r="Z48" s="208"/>
      <c r="AA48" s="208"/>
      <c r="AB48" s="208"/>
      <c r="AC48" s="208"/>
      <c r="AD48" s="208"/>
      <c r="AE48" s="208"/>
      <c r="AF48" s="208"/>
      <c r="AG48" s="208"/>
      <c r="AH48" s="208"/>
      <c r="AJ48" s="203">
        <f t="shared" si="0"/>
        <v>0</v>
      </c>
    </row>
    <row r="49" spans="1:36" ht="15.75" customHeight="1" x14ac:dyDescent="0.2">
      <c r="A49" s="204" t="s">
        <v>189</v>
      </c>
      <c r="B49" s="205">
        <f>'May2025 '!B49+1.25- (COUNTIF(E42:AH42, "VL") * 1) - (COUNTIF(E42:AH42, "HDL") * 0.5)</f>
        <v>21.75</v>
      </c>
      <c r="C49" s="206">
        <f>'May2025 '!C49-COUNTIF(E49:AH49, "SL")-(COUNTIF(E49:AH49, "HDSL") * 0.5)</f>
        <v>2</v>
      </c>
      <c r="D49" s="207">
        <f>'May2025 '!D57-COUNTIF(E49:AH49, "SPL")</f>
        <v>0</v>
      </c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/>
      <c r="AB49" s="208"/>
      <c r="AC49" s="208"/>
      <c r="AD49" s="208"/>
      <c r="AE49" s="208"/>
      <c r="AF49" s="208"/>
      <c r="AG49" s="211"/>
      <c r="AH49" s="211"/>
      <c r="AJ49" s="203">
        <f t="shared" si="0"/>
        <v>0</v>
      </c>
    </row>
    <row r="50" spans="1:36" ht="15.75" customHeight="1" x14ac:dyDescent="0.2">
      <c r="A50" s="215" t="s">
        <v>354</v>
      </c>
      <c r="B50" s="205">
        <f>'May2025 '!B50+1.25- (COUNTIF(E50:AH50, "VL") * 1) - (COUNTIF(E50:AH50, "HDL") * 0.5)</f>
        <v>8.75</v>
      </c>
      <c r="C50" s="206">
        <f>'May2025 '!C50+0.416666666666666-COUNTIF(E50:AH50, "SL")-(COUNTIF(E50:AH50, "HDSL") * 0.5)</f>
        <v>1.9166666666666621</v>
      </c>
      <c r="D50" s="207">
        <f>'May2025 '!D59-COUNTIF(E50:AH50, "SPL")</f>
        <v>0</v>
      </c>
      <c r="E50" s="208"/>
      <c r="F50" s="208"/>
      <c r="G50" s="208"/>
      <c r="H50" s="208"/>
      <c r="I50" s="208"/>
      <c r="J50" s="208"/>
      <c r="K50" s="208"/>
      <c r="L50" s="208"/>
      <c r="M50" s="208"/>
      <c r="N50" s="208"/>
      <c r="O50" s="208"/>
      <c r="P50" s="208"/>
      <c r="Q50" s="208"/>
      <c r="R50" s="208"/>
      <c r="S50" s="208"/>
      <c r="T50" s="208"/>
      <c r="U50" s="208"/>
      <c r="V50" s="208"/>
      <c r="W50" s="208" t="s">
        <v>173</v>
      </c>
      <c r="X50" s="208"/>
      <c r="Y50" s="208"/>
      <c r="Z50" s="208"/>
      <c r="AA50" s="208"/>
      <c r="AB50" s="208"/>
      <c r="AC50" s="208"/>
      <c r="AD50" s="208"/>
      <c r="AE50" s="208"/>
      <c r="AF50" s="208"/>
      <c r="AG50" s="211"/>
      <c r="AH50" s="211"/>
      <c r="AJ50" s="203">
        <f t="shared" si="0"/>
        <v>1</v>
      </c>
    </row>
    <row r="51" spans="1:36" ht="15.75" customHeight="1" x14ac:dyDescent="0.2">
      <c r="A51" s="204" t="s">
        <v>155</v>
      </c>
      <c r="B51" s="205">
        <f>'May2025 '!B51+1.25- (COUNTIF(E51:AH51, "VL") * 1) - (COUNTIF(E51:AH51, "HDL") * 0.5)</f>
        <v>2.75</v>
      </c>
      <c r="C51" s="206">
        <f>'May2025 '!C51-COUNTIF(E51:AH51, "SL")-(COUNTIF(E51:AH51, "HDSL") * 0.5)</f>
        <v>0</v>
      </c>
      <c r="D51" s="207">
        <f>'May2025 '!D60-COUNTIF(E51:AH51, "SPL")</f>
        <v>0</v>
      </c>
      <c r="E51" s="216"/>
      <c r="F51" s="216"/>
      <c r="G51" s="216"/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 t="s">
        <v>173</v>
      </c>
      <c r="X51" s="216" t="s">
        <v>173</v>
      </c>
      <c r="Y51" s="216" t="s">
        <v>173</v>
      </c>
      <c r="Z51" s="216" t="s">
        <v>173</v>
      </c>
      <c r="AA51" s="216"/>
      <c r="AB51" s="216"/>
      <c r="AC51" s="216"/>
      <c r="AD51" s="216"/>
      <c r="AE51" s="216" t="s">
        <v>182</v>
      </c>
      <c r="AF51" s="216"/>
      <c r="AG51" s="216"/>
      <c r="AH51" s="216"/>
      <c r="AJ51" s="203">
        <f t="shared" si="0"/>
        <v>4</v>
      </c>
    </row>
    <row r="52" spans="1:36" ht="15.75" customHeight="1" x14ac:dyDescent="0.2">
      <c r="A52" s="204" t="s">
        <v>224</v>
      </c>
      <c r="B52" s="205">
        <f>'May2025 '!B52+1.25- (COUNTIF(E52:AH52, "VL") * 1) - (COUNTIF(E52:AH52, "HDL") * 0.5)</f>
        <v>10.5</v>
      </c>
      <c r="C52" s="206">
        <f>'May2025 '!C52+0.416666666666666-COUNTIF(E52:AH52, "SL")-(COUNTIF(E52:AH52, "HDSL") * 0.5)</f>
        <v>4.1626666666666639</v>
      </c>
      <c r="D52" s="217">
        <f>'May2025 '!D61-COUNTIF(E52:AH52, "SPL")</f>
        <v>0</v>
      </c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  <c r="Z52" s="211"/>
      <c r="AA52" s="211"/>
      <c r="AB52" s="211"/>
      <c r="AC52" s="211"/>
      <c r="AD52" s="211"/>
      <c r="AE52" s="211"/>
      <c r="AF52" s="211"/>
      <c r="AG52" s="211"/>
      <c r="AH52" s="211"/>
      <c r="AJ52" s="203">
        <f t="shared" si="0"/>
        <v>0</v>
      </c>
    </row>
    <row r="53" spans="1:36" ht="15.75" customHeight="1" x14ac:dyDescent="0.2">
      <c r="A53" s="204" t="s">
        <v>166</v>
      </c>
      <c r="B53" s="205">
        <f>'May2025 '!B53+1.25- (COUNTIF(E53:AH53, "VL") * 1) - (COUNTIF(E53:AH53, "HDL") * 0.5)</f>
        <v>3.75</v>
      </c>
      <c r="C53" s="206">
        <f>'May2025 '!C53-COUNTIF(E53:AH53, "SL")-(COUNTIF(E53:AH53, "HDSL") * 0.5)</f>
        <v>2</v>
      </c>
      <c r="D53" s="217">
        <f>'May2025 '!D62-COUNTIF(E53:AH53, "SPL")</f>
        <v>0</v>
      </c>
      <c r="E53" s="211"/>
      <c r="F53" s="211"/>
      <c r="G53" s="211"/>
      <c r="H53" s="211"/>
      <c r="I53" s="211"/>
      <c r="J53" s="211"/>
      <c r="K53" s="211"/>
      <c r="L53" s="211"/>
      <c r="M53" s="211"/>
      <c r="N53" s="219" t="s">
        <v>172</v>
      </c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  <c r="Z53" s="211"/>
      <c r="AA53" s="211"/>
      <c r="AB53" s="211"/>
      <c r="AC53" s="211"/>
      <c r="AD53" s="211"/>
      <c r="AE53" s="211"/>
      <c r="AF53" s="211"/>
      <c r="AG53" s="211"/>
      <c r="AH53" s="211"/>
      <c r="AJ53" s="203">
        <f t="shared" si="0"/>
        <v>0</v>
      </c>
    </row>
    <row r="54" spans="1:36" x14ac:dyDescent="0.2">
      <c r="AJ54" s="203">
        <f t="shared" si="0"/>
        <v>0</v>
      </c>
    </row>
    <row r="55" spans="1:36" x14ac:dyDescent="0.2">
      <c r="AJ55" s="203">
        <f t="shared" si="0"/>
        <v>0</v>
      </c>
    </row>
    <row r="56" spans="1:36" x14ac:dyDescent="0.2">
      <c r="AJ56" s="203">
        <f t="shared" si="0"/>
        <v>0</v>
      </c>
    </row>
    <row r="57" spans="1:36" x14ac:dyDescent="0.2">
      <c r="AJ57" s="203">
        <f t="shared" si="0"/>
        <v>0</v>
      </c>
    </row>
    <row r="58" spans="1:36" x14ac:dyDescent="0.2">
      <c r="AJ58" s="203">
        <f t="shared" si="0"/>
        <v>0</v>
      </c>
    </row>
    <row r="59" spans="1:36" x14ac:dyDescent="0.2">
      <c r="AJ59" s="203">
        <f t="shared" si="0"/>
        <v>0</v>
      </c>
    </row>
    <row r="60" spans="1:36" x14ac:dyDescent="0.2">
      <c r="AJ60" s="203">
        <f t="shared" si="0"/>
        <v>0</v>
      </c>
    </row>
    <row r="61" spans="1:36" x14ac:dyDescent="0.2">
      <c r="AJ61" s="203">
        <f t="shared" si="0"/>
        <v>0</v>
      </c>
    </row>
    <row r="62" spans="1:36" x14ac:dyDescent="0.2">
      <c r="AJ62" s="203">
        <f t="shared" si="0"/>
        <v>0</v>
      </c>
    </row>
    <row r="63" spans="1:36" x14ac:dyDescent="0.2">
      <c r="AJ63" s="203">
        <f t="shared" si="0"/>
        <v>0</v>
      </c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D5BF-61A4-494D-906B-DD93B7994954}">
  <sheetPr>
    <tabColor rgb="FFFF0000"/>
  </sheetPr>
  <dimension ref="A1:AJ63"/>
  <sheetViews>
    <sheetView zoomScale="130" zoomScaleNormal="130" workbookViewId="0">
      <pane xSplit="4" ySplit="1" topLeftCell="E22" activePane="bottomRight" state="frozen"/>
      <selection pane="topRight" activeCell="E1" sqref="E1"/>
      <selection pane="bottomLeft" activeCell="A2" sqref="A2"/>
      <selection pane="bottomRight" activeCell="B41" sqref="B41"/>
    </sheetView>
  </sheetViews>
  <sheetFormatPr defaultRowHeight="11.25" x14ac:dyDescent="0.2"/>
  <cols>
    <col min="1" max="1" width="42.83203125" style="203" customWidth="1"/>
    <col min="2" max="4" width="9.33203125" style="203" customWidth="1"/>
    <col min="5" max="33" width="9.33203125" style="203"/>
    <col min="34" max="34" width="9.5" style="203" customWidth="1"/>
    <col min="35" max="16384" width="9.33203125" style="203"/>
  </cols>
  <sheetData>
    <row r="1" spans="1:36" x14ac:dyDescent="0.2">
      <c r="A1" s="199" t="s">
        <v>124</v>
      </c>
      <c r="B1" s="200" t="s">
        <v>172</v>
      </c>
      <c r="C1" s="201" t="s">
        <v>173</v>
      </c>
      <c r="D1" s="202" t="s">
        <v>174</v>
      </c>
      <c r="E1" s="197">
        <v>45839</v>
      </c>
      <c r="F1" s="197">
        <v>45840</v>
      </c>
      <c r="G1" s="197">
        <v>45841</v>
      </c>
      <c r="H1" s="197">
        <v>45842</v>
      </c>
      <c r="I1" s="197">
        <v>45843</v>
      </c>
      <c r="J1" s="197">
        <v>45844</v>
      </c>
      <c r="K1" s="197">
        <v>45845</v>
      </c>
      <c r="L1" s="197">
        <v>45846</v>
      </c>
      <c r="M1" s="197">
        <v>45847</v>
      </c>
      <c r="N1" s="197">
        <v>45848</v>
      </c>
      <c r="O1" s="197">
        <v>45849</v>
      </c>
      <c r="P1" s="197">
        <v>45850</v>
      </c>
      <c r="Q1" s="197">
        <v>45851</v>
      </c>
      <c r="R1" s="197">
        <v>45852</v>
      </c>
      <c r="S1" s="197">
        <v>45853</v>
      </c>
      <c r="T1" s="197">
        <v>45854</v>
      </c>
      <c r="U1" s="197">
        <v>45855</v>
      </c>
      <c r="V1" s="197">
        <v>45856</v>
      </c>
      <c r="W1" s="197">
        <v>45857</v>
      </c>
      <c r="X1" s="197">
        <v>45858</v>
      </c>
      <c r="Y1" s="197">
        <v>45859</v>
      </c>
      <c r="Z1" s="197">
        <v>45860</v>
      </c>
      <c r="AA1" s="197">
        <v>45861</v>
      </c>
      <c r="AB1" s="197">
        <v>45862</v>
      </c>
      <c r="AC1" s="197">
        <v>45863</v>
      </c>
      <c r="AD1" s="197">
        <v>45864</v>
      </c>
      <c r="AE1" s="197">
        <v>45865</v>
      </c>
      <c r="AF1" s="197">
        <v>45866</v>
      </c>
      <c r="AG1" s="197">
        <v>45867</v>
      </c>
      <c r="AH1" s="197">
        <v>45868</v>
      </c>
      <c r="AI1" s="197">
        <v>45869</v>
      </c>
      <c r="AJ1" s="203" t="s">
        <v>218</v>
      </c>
    </row>
    <row r="2" spans="1:36" ht="17.25" customHeight="1" x14ac:dyDescent="0.2">
      <c r="A2" s="204" t="s">
        <v>158</v>
      </c>
      <c r="B2" s="205">
        <f>'Jun2025 '!B2+1.25- (COUNTIF(E2:AI2, "VL") * 1) - (COUNTIF(E2:AI2, "HDL") * 0.5)</f>
        <v>6.75</v>
      </c>
      <c r="C2" s="206">
        <f>'Jun2025 '!C2-COUNTIF(E2:AI2, "SL")-(COUNTIF(E2:AI2, "HDSL") * 0.5)</f>
        <v>1</v>
      </c>
      <c r="D2" s="207">
        <f>'Jun2025 '!D2-COUNTIF(E2:AI2, "SPL")</f>
        <v>0</v>
      </c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20"/>
      <c r="AI2" s="219"/>
      <c r="AJ2" s="203">
        <f>COUNTIF(E2:AI2,"SL")</f>
        <v>0</v>
      </c>
    </row>
    <row r="3" spans="1:36" ht="17.25" customHeight="1" x14ac:dyDescent="0.2">
      <c r="A3" s="204" t="s">
        <v>160</v>
      </c>
      <c r="B3" s="205">
        <f>'Jun2025 '!B3+1.25- (COUNTIF(E3:AI3, "VL") * 1) - (COUNTIF(E3:AI3, "HDL") * 0.5)</f>
        <v>12.75</v>
      </c>
      <c r="C3" s="206">
        <f>'Jun2025 '!C3-COUNTIF(E3:AI3, "SL")-(COUNTIF(E3:AI3, "HDSL") * 0.5)</f>
        <v>1</v>
      </c>
      <c r="D3" s="207">
        <f>'Jun2025 '!D3-COUNTIF(E3:AI3, "SPL")</f>
        <v>0</v>
      </c>
      <c r="E3" s="208" t="s">
        <v>172</v>
      </c>
      <c r="F3" s="208" t="s">
        <v>172</v>
      </c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 t="s">
        <v>173</v>
      </c>
      <c r="T3" s="208"/>
      <c r="U3" s="208"/>
      <c r="V3" s="208"/>
      <c r="W3" s="208"/>
      <c r="X3" s="208"/>
      <c r="Y3" s="208"/>
      <c r="Z3" s="208"/>
      <c r="AA3" s="208"/>
      <c r="AB3" s="208"/>
      <c r="AC3" s="208" t="s">
        <v>173</v>
      </c>
      <c r="AD3" s="208"/>
      <c r="AE3" s="208"/>
      <c r="AF3" s="208"/>
      <c r="AG3" s="208" t="s">
        <v>172</v>
      </c>
      <c r="AH3" s="220"/>
      <c r="AI3" s="219"/>
      <c r="AJ3" s="203">
        <f t="shared" ref="AJ3:AJ63" si="0">COUNTIF(E3:AI3,"SL")</f>
        <v>2</v>
      </c>
    </row>
    <row r="4" spans="1:36" ht="17.25" customHeight="1" x14ac:dyDescent="0.2">
      <c r="A4" s="204" t="s">
        <v>149</v>
      </c>
      <c r="B4" s="205">
        <f>'Jun2025 '!B4+1.25- (COUNTIF(E4:AI4, "VL") * 1) - (COUNTIF(E4:AI4, "HDL") * 0.5)</f>
        <v>11.5</v>
      </c>
      <c r="C4" s="206">
        <f>'Jun2025 '!C4-COUNTIF(E4:AI4, "SL")-(COUNTIF(E4:AI4, "HDSL") * 0.5)</f>
        <v>0</v>
      </c>
      <c r="D4" s="207">
        <f>'Jun2025 '!D4-COUNTIF(E4:AI4, "SPL")</f>
        <v>0</v>
      </c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 t="s">
        <v>172</v>
      </c>
      <c r="AA4" s="208" t="s">
        <v>172</v>
      </c>
      <c r="AB4" s="208" t="s">
        <v>172</v>
      </c>
      <c r="AC4" s="208" t="s">
        <v>172</v>
      </c>
      <c r="AD4" s="208"/>
      <c r="AE4" s="208"/>
      <c r="AF4" s="208"/>
      <c r="AG4" s="208"/>
      <c r="AH4" s="220"/>
      <c r="AI4" s="219"/>
      <c r="AJ4" s="203">
        <f t="shared" si="0"/>
        <v>0</v>
      </c>
    </row>
    <row r="5" spans="1:36" ht="17.25" customHeight="1" x14ac:dyDescent="0.2">
      <c r="A5" s="204" t="s">
        <v>142</v>
      </c>
      <c r="B5" s="205">
        <f>'Jun2025 '!B5+1.25- (COUNTIF(E5:AI5, "VL") * 1) - (COUNTIF(E5:AI5, "HDL") * 0.5)</f>
        <v>7.25</v>
      </c>
      <c r="C5" s="206">
        <f>'Jun2025 '!C5-COUNTIF(E5:AI5, "SL")-(COUNTIF(E5:AI5, "HDSL") * 0.5)</f>
        <v>0.5</v>
      </c>
      <c r="D5" s="207">
        <f>'Jun2025 '!D5-COUNTIF(E5:AI5, "SPL")</f>
        <v>0</v>
      </c>
      <c r="E5" s="208"/>
      <c r="F5" s="208" t="s">
        <v>173</v>
      </c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 t="s">
        <v>172</v>
      </c>
      <c r="AB5" s="208" t="s">
        <v>172</v>
      </c>
      <c r="AC5" s="208" t="s">
        <v>172</v>
      </c>
      <c r="AD5" s="224" t="s">
        <v>172</v>
      </c>
      <c r="AE5" s="208"/>
      <c r="AF5" s="208"/>
      <c r="AG5" s="208"/>
      <c r="AH5" s="220"/>
      <c r="AI5" s="219"/>
      <c r="AJ5" s="203">
        <f t="shared" si="0"/>
        <v>1</v>
      </c>
    </row>
    <row r="6" spans="1:36" ht="17.25" customHeight="1" x14ac:dyDescent="0.2">
      <c r="A6" s="204" t="s">
        <v>176</v>
      </c>
      <c r="B6" s="205">
        <f>'Jun2025 '!B6+1.25- (COUNTIF(E6:AI6, "VL") * 1) - (COUNTIF(E6:AI6, "HDL") * 0.5)</f>
        <v>7.75</v>
      </c>
      <c r="C6" s="206">
        <f>'Jun2025 '!C6-COUNTIF(E6:AI6, "SL")-(COUNTIF(E6:AI6, "HDSL") * 0.5)</f>
        <v>4</v>
      </c>
      <c r="D6" s="207">
        <f>'Jun2025 '!D6-COUNTIF(E6:AI6, "SPL")</f>
        <v>0</v>
      </c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221"/>
      <c r="AI6" s="219"/>
      <c r="AJ6" s="203">
        <f t="shared" si="0"/>
        <v>0</v>
      </c>
    </row>
    <row r="7" spans="1:36" ht="17.25" customHeight="1" x14ac:dyDescent="0.2">
      <c r="A7" s="209" t="s">
        <v>177</v>
      </c>
      <c r="B7" s="205">
        <f>'Jun2025 '!B7+1.25- (COUNTIF(E7:AI7, "VL") * 1) - (COUNTIF(E7:AI7, "HDL") * 0.5)</f>
        <v>2.5</v>
      </c>
      <c r="C7" s="206">
        <f>'Jun2025 '!C7-COUNTIF(E7:AI7, "SL")-(COUNTIF(E7:AI7, "HDSL") * 0.5)</f>
        <v>1</v>
      </c>
      <c r="D7" s="207">
        <f>'Jun2025 '!D7-COUNTIF(E7:AI7, "SPL")</f>
        <v>0</v>
      </c>
      <c r="E7" s="198"/>
      <c r="F7" s="198" t="s">
        <v>172</v>
      </c>
      <c r="G7" s="198"/>
      <c r="H7" s="198"/>
      <c r="I7" s="198"/>
      <c r="J7" s="198" t="s">
        <v>172</v>
      </c>
      <c r="K7" s="198" t="s">
        <v>172</v>
      </c>
      <c r="L7" s="198" t="s">
        <v>172</v>
      </c>
      <c r="M7" s="198" t="s">
        <v>172</v>
      </c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  <c r="AA7" s="198"/>
      <c r="AB7" s="198"/>
      <c r="AC7" s="198"/>
      <c r="AD7" s="198"/>
      <c r="AE7" s="198"/>
      <c r="AF7" s="198"/>
      <c r="AG7" s="198"/>
      <c r="AH7" s="221"/>
      <c r="AI7" s="219"/>
      <c r="AJ7" s="203">
        <f t="shared" si="0"/>
        <v>0</v>
      </c>
    </row>
    <row r="8" spans="1:36" ht="17.25" customHeight="1" x14ac:dyDescent="0.2">
      <c r="A8" s="209" t="s">
        <v>178</v>
      </c>
      <c r="B8" s="205">
        <f>'Jun2025 '!B8+1.25- (COUNTIF(E8:AI8, "VL") * 1) - (COUNTIF(E8:AI8, "HDL") * 0.5)</f>
        <v>2.25</v>
      </c>
      <c r="C8" s="206">
        <f>'Jun2025 '!C8-COUNTIF(E8:AI8, "SL")-(COUNTIF(E8:AI8, "HDSL") * 0.5)</f>
        <v>4</v>
      </c>
      <c r="D8" s="207">
        <f>'Jun2025 '!D8-COUNTIF(E8:AI8, "SPL")</f>
        <v>0</v>
      </c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 t="s">
        <v>172</v>
      </c>
      <c r="AB8" s="208" t="s">
        <v>172</v>
      </c>
      <c r="AC8" s="208" t="s">
        <v>172</v>
      </c>
      <c r="AD8" s="208"/>
      <c r="AE8" s="208"/>
      <c r="AF8" s="208"/>
      <c r="AG8" s="208"/>
      <c r="AH8" s="220"/>
      <c r="AI8" s="219"/>
      <c r="AJ8" s="203">
        <f t="shared" si="0"/>
        <v>0</v>
      </c>
    </row>
    <row r="9" spans="1:36" ht="17.25" customHeight="1" x14ac:dyDescent="0.2">
      <c r="A9" s="209" t="s">
        <v>332</v>
      </c>
      <c r="B9" s="205">
        <f>'Jun2025 '!B9+1.25- (COUNTIF(E9:AI9, "VL") * 1) - (COUNTIF(E9:AI9, "HDL") * 0.5)</f>
        <v>0.25</v>
      </c>
      <c r="C9" s="206">
        <f>'Jun2025 '!C9-COUNTIF(E9:AI9, "SL")-(COUNTIF(E9:AI9, "HDSL") * 0.5)</f>
        <v>1.9166666666666621</v>
      </c>
      <c r="D9" s="207">
        <f>'Jun2025 '!D9-COUNTIF(E9:AI9, "SPL")</f>
        <v>0</v>
      </c>
      <c r="E9" s="208" t="s">
        <v>172</v>
      </c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/>
      <c r="AC9" s="208"/>
      <c r="AD9" s="208"/>
      <c r="AE9" s="208"/>
      <c r="AF9" s="208"/>
      <c r="AG9" s="208"/>
      <c r="AH9" s="220"/>
      <c r="AI9" s="219"/>
      <c r="AJ9" s="203">
        <f t="shared" si="0"/>
        <v>0</v>
      </c>
    </row>
    <row r="10" spans="1:36" ht="17.25" customHeight="1" x14ac:dyDescent="0.2">
      <c r="A10" s="209" t="s">
        <v>162</v>
      </c>
      <c r="B10" s="205">
        <f>'Jun2025 '!B10+1.25- (COUNTIF(E10:AI10, "VL") * 1) - (COUNTIF(E10:AI10, "HDL") * 0.5)</f>
        <v>12</v>
      </c>
      <c r="C10" s="206">
        <f>'Jun2025 '!C10-COUNTIF(E10:AI10, "SL")-(COUNTIF(E10:AI10, "HDSL") * 0.5)</f>
        <v>5</v>
      </c>
      <c r="D10" s="207">
        <f>'Jun2025 '!D10-COUNTIF(E10:AI10, "SPL")</f>
        <v>0</v>
      </c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8"/>
      <c r="AB10" s="208"/>
      <c r="AC10" s="208"/>
      <c r="AD10" s="208"/>
      <c r="AE10" s="208"/>
      <c r="AF10" s="208"/>
      <c r="AG10" s="208"/>
      <c r="AH10" s="220"/>
      <c r="AI10" s="219"/>
      <c r="AJ10" s="203">
        <f t="shared" si="0"/>
        <v>0</v>
      </c>
    </row>
    <row r="11" spans="1:36" ht="17.25" customHeight="1" x14ac:dyDescent="0.2">
      <c r="A11" s="209" t="s">
        <v>347</v>
      </c>
      <c r="B11" s="205">
        <f>'Jun2025 '!B11+1.25- (COUNTIF(E11:AI11, "VL") * 1) - (COUNTIF(E11:AI11, "HDL") * 0.5)</f>
        <v>11.25</v>
      </c>
      <c r="C11" s="206">
        <f>'Jun2025 '!C11+0.416666666666666-COUNTIF(E11:AI11, "SL")-(COUNTIF(E11:AI11, "HDSL") * 0.5)</f>
        <v>2.7499999999999942</v>
      </c>
      <c r="D11" s="207">
        <f>'Jun2025 '!D11-COUNTIF(E11:AI11, "SPL")</f>
        <v>0</v>
      </c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  <c r="AC11" s="208"/>
      <c r="AD11" s="208"/>
      <c r="AE11" s="208"/>
      <c r="AF11" s="208"/>
      <c r="AG11" s="208"/>
      <c r="AH11" s="220"/>
      <c r="AI11" s="219"/>
      <c r="AJ11" s="203">
        <f t="shared" si="0"/>
        <v>0</v>
      </c>
    </row>
    <row r="12" spans="1:36" ht="17.25" customHeight="1" x14ac:dyDescent="0.2">
      <c r="A12" s="209" t="s">
        <v>179</v>
      </c>
      <c r="B12" s="205">
        <f>'Jun2025 '!B12+1.25- (COUNTIF(E12:AI12, "VL") * 1) - (COUNTIF(E12:AI12, "HDL") * 0.5)</f>
        <v>5.25</v>
      </c>
      <c r="C12" s="206">
        <f>'Jun2025 '!C12-COUNTIF(E12:AI12, "SL")-(COUNTIF(E12:AI12, "HDSL") * 0.5)</f>
        <v>4</v>
      </c>
      <c r="D12" s="207">
        <f>'Jun2025 '!D12-COUNTIF(E12:AI12, "SPL")</f>
        <v>0</v>
      </c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221"/>
      <c r="AI12" s="219"/>
      <c r="AJ12" s="203">
        <f t="shared" si="0"/>
        <v>0</v>
      </c>
    </row>
    <row r="13" spans="1:36" ht="17.25" customHeight="1" x14ac:dyDescent="0.2">
      <c r="A13" s="209" t="s">
        <v>348</v>
      </c>
      <c r="B13" s="205">
        <f>'Jun2025 '!B13+1.25- (COUNTIF(E13:AI13, "VL") * 1) - (COUNTIF(E13:AI13, "HDL") * 0.5)</f>
        <v>10</v>
      </c>
      <c r="C13" s="206">
        <f>'Jun2025 '!C13+0.416-COUNTIF(E13:AI13, "SL")-(COUNTIF(E13:AI13, "HDSL") * 0.5)</f>
        <v>2.3319999999999959</v>
      </c>
      <c r="D13" s="207">
        <f>'Jun2025 '!D13-COUNTIF(E13:AI13, "SPL")</f>
        <v>0</v>
      </c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221"/>
      <c r="AI13" s="219"/>
      <c r="AJ13" s="203">
        <f t="shared" si="0"/>
        <v>0</v>
      </c>
    </row>
    <row r="14" spans="1:36" ht="17.25" customHeight="1" x14ac:dyDescent="0.2">
      <c r="A14" s="209" t="s">
        <v>151</v>
      </c>
      <c r="B14" s="205">
        <f>'Jun2025 '!B14+1.25- (COUNTIF(E14:AI14, "VL") * 1) - (COUNTIF(E14:AI14, "HDL") * 0.5)</f>
        <v>14</v>
      </c>
      <c r="C14" s="206">
        <f>'Jun2025 '!C14-COUNTIF(E14:AI14, "SL")-(COUNTIF(E14:AI14, "HDSL") * 0.5)</f>
        <v>0.5</v>
      </c>
      <c r="D14" s="207">
        <f>'Jun2025 '!D14-COUNTIF(E14:AI14, "SPL")</f>
        <v>0</v>
      </c>
      <c r="E14" s="208"/>
      <c r="F14" s="208"/>
      <c r="G14" s="210"/>
      <c r="H14" s="208"/>
      <c r="I14" s="208"/>
      <c r="J14" s="208"/>
      <c r="K14" s="208" t="s">
        <v>172</v>
      </c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  <c r="AB14" s="208"/>
      <c r="AC14" s="208"/>
      <c r="AD14" s="208"/>
      <c r="AE14" s="208"/>
      <c r="AF14" s="208"/>
      <c r="AG14" s="208"/>
      <c r="AH14" s="220"/>
      <c r="AI14" s="219"/>
      <c r="AJ14" s="203">
        <f t="shared" si="0"/>
        <v>0</v>
      </c>
    </row>
    <row r="15" spans="1:36" ht="17.25" customHeight="1" x14ac:dyDescent="0.2">
      <c r="A15" s="209" t="s">
        <v>180</v>
      </c>
      <c r="B15" s="205">
        <f>'Jun2025 '!B15+1.25- (COUNTIF(E15:AI15, "VL") * 1) - (COUNTIF(E15:AI15, "HDL") * 0.5)</f>
        <v>10.25</v>
      </c>
      <c r="C15" s="206">
        <f>'Jun2025 '!C15-COUNTIF(E15:AI15, "SL")-(COUNTIF(E15:AI15, "HDSL") * 0.5)</f>
        <v>5</v>
      </c>
      <c r="D15" s="207">
        <f>'Jun2025 '!D15-COUNTIF(E15:AI15, "SPL")</f>
        <v>0</v>
      </c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208"/>
      <c r="AD15" s="208"/>
      <c r="AE15" s="208"/>
      <c r="AF15" s="208"/>
      <c r="AG15" s="208"/>
      <c r="AH15" s="220"/>
      <c r="AI15" s="219"/>
      <c r="AJ15" s="203">
        <f t="shared" si="0"/>
        <v>0</v>
      </c>
    </row>
    <row r="16" spans="1:36" ht="17.25" customHeight="1" x14ac:dyDescent="0.2">
      <c r="A16" s="209" t="s">
        <v>181</v>
      </c>
      <c r="B16" s="205">
        <f>'Jun2025 '!B16+1.25- (COUNTIF(E16:AI16, "VL") * 1) - (COUNTIF(E16:AI16, "HDL") * 0.5)</f>
        <v>6.25</v>
      </c>
      <c r="C16" s="206">
        <f>'Jun2025 '!C16-COUNTIF(E16:AI16, "SL")-(COUNTIF(E16:AI16, "HDSL") * 0.5)</f>
        <v>0</v>
      </c>
      <c r="D16" s="207">
        <f>'Jun2025 '!D16-COUNTIF(E16:AI16, "SPL")</f>
        <v>0</v>
      </c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208"/>
      <c r="AD16" s="208"/>
      <c r="AE16" s="208"/>
      <c r="AF16" s="208"/>
      <c r="AG16" s="208"/>
      <c r="AH16" s="220"/>
      <c r="AI16" s="219"/>
      <c r="AJ16" s="203">
        <f t="shared" si="0"/>
        <v>0</v>
      </c>
    </row>
    <row r="17" spans="1:36" ht="17.25" customHeight="1" x14ac:dyDescent="0.2">
      <c r="A17" s="209" t="s">
        <v>221</v>
      </c>
      <c r="B17" s="205">
        <f>'Jun2025 '!B17+1.25- (COUNTIF(E17:AI17, "VL") * 1) - (COUNTIF(E17:AI17, "HDL") * 0.5)</f>
        <v>10.25</v>
      </c>
      <c r="C17" s="206">
        <f>'Jun2025 '!C17+0.416666666666666-COUNTIF(E17:AI17, "SL")-(COUNTIF(E17:AI17, "HDSL") * 0.5)</f>
        <v>1.5786666666666642</v>
      </c>
      <c r="D17" s="207">
        <f>'Jun2025 '!D17-COUNTIF(E17:AI17, "SPL")</f>
        <v>0</v>
      </c>
      <c r="E17" s="208"/>
      <c r="F17" s="208"/>
      <c r="G17" s="208"/>
      <c r="H17" s="208" t="s">
        <v>173</v>
      </c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 t="s">
        <v>173</v>
      </c>
      <c r="U17" s="208"/>
      <c r="V17" s="208"/>
      <c r="W17" s="208"/>
      <c r="X17" s="208"/>
      <c r="Y17" s="208"/>
      <c r="Z17" s="208"/>
      <c r="AA17" s="208"/>
      <c r="AB17" s="208"/>
      <c r="AC17" s="208"/>
      <c r="AD17" s="208"/>
      <c r="AE17" s="208"/>
      <c r="AF17" s="208"/>
      <c r="AG17" s="211"/>
      <c r="AH17" s="222"/>
      <c r="AI17" s="219"/>
      <c r="AJ17" s="203">
        <f t="shared" si="0"/>
        <v>2</v>
      </c>
    </row>
    <row r="18" spans="1:36" ht="17.25" customHeight="1" x14ac:dyDescent="0.2">
      <c r="A18" s="209" t="s">
        <v>152</v>
      </c>
      <c r="B18" s="205">
        <f>'Jun2025 '!B18+1.25- (COUNTIF(E18:AI18, "VL") * 1) - (COUNTIF(E18:AI18, "HDL") * 0.5)</f>
        <v>10.875</v>
      </c>
      <c r="C18" s="206">
        <f>'Jun2025 '!C18-COUNTIF(E18:AI18, "SL")-(COUNTIF(E18:AI18, "HDSL") * 0.5)</f>
        <v>2</v>
      </c>
      <c r="D18" s="207">
        <f>'Jun2025 '!D18-COUNTIF(E18:AI18, "SPL")</f>
        <v>0</v>
      </c>
      <c r="E18" s="208"/>
      <c r="F18" s="208"/>
      <c r="G18" s="208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 t="s">
        <v>172</v>
      </c>
      <c r="AD18" s="208"/>
      <c r="AE18" s="208"/>
      <c r="AF18" s="208"/>
      <c r="AG18" s="208"/>
      <c r="AH18" s="220"/>
      <c r="AI18" s="219"/>
      <c r="AJ18" s="203">
        <f t="shared" si="0"/>
        <v>0</v>
      </c>
    </row>
    <row r="19" spans="1:36" ht="17.25" customHeight="1" x14ac:dyDescent="0.2">
      <c r="A19" s="209" t="s">
        <v>170</v>
      </c>
      <c r="B19" s="205">
        <f>'Jun2025 '!B19+1.25- (COUNTIF(E19:AI19, "VL") * 1) - (COUNTIF(E19:AI19, "HDL") * 0.5)</f>
        <v>5.25</v>
      </c>
      <c r="C19" s="206">
        <f>'Jun2025 '!C19-COUNTIF(E19:AI19, "SL")-(COUNTIF(E19:AI19, "HDSL") * 0.5)</f>
        <v>0</v>
      </c>
      <c r="D19" s="207">
        <f>'Jun2025 '!D19-COUNTIF(E19:AI19, "SPL")</f>
        <v>0</v>
      </c>
      <c r="E19" s="208"/>
      <c r="F19" s="208"/>
      <c r="G19" s="208"/>
      <c r="H19" s="208"/>
      <c r="I19" s="208"/>
      <c r="J19" s="208"/>
      <c r="K19" s="208" t="s">
        <v>182</v>
      </c>
      <c r="L19" s="208"/>
      <c r="M19" s="208"/>
      <c r="N19" s="208"/>
      <c r="O19" s="208"/>
      <c r="P19" s="208"/>
      <c r="Q19" s="208"/>
      <c r="R19" s="208"/>
      <c r="S19" s="208"/>
      <c r="T19" s="208" t="s">
        <v>172</v>
      </c>
      <c r="U19" s="208" t="s">
        <v>172</v>
      </c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20"/>
      <c r="AI19" s="219"/>
      <c r="AJ19" s="203">
        <f t="shared" si="0"/>
        <v>0</v>
      </c>
    </row>
    <row r="20" spans="1:36" ht="17.25" customHeight="1" x14ac:dyDescent="0.2">
      <c r="A20" s="212" t="s">
        <v>334</v>
      </c>
      <c r="B20" s="205">
        <f>'Jun2025 '!B20+1.25- (COUNTIF(E20:AI20, "VL") * 1) - (COUNTIF(E20:AI20, "HDL") * 0.5)</f>
        <v>10.25</v>
      </c>
      <c r="C20" s="206">
        <f>'Jun2025 '!C20+0.416666666666666-COUNTIF(E20:AI20, "SL")-(COUNTIF(E20:AI20, "HDSL") * 0.5)</f>
        <v>2.7499999999999942</v>
      </c>
      <c r="D20" s="207">
        <f>'Jun2025 '!D20-COUNTIF(E20:AI20, "SPL")</f>
        <v>0</v>
      </c>
      <c r="E20" s="208"/>
      <c r="F20" s="208"/>
      <c r="G20" s="208"/>
      <c r="H20" s="208"/>
      <c r="I20" s="208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 t="s">
        <v>172</v>
      </c>
      <c r="Y20" s="208"/>
      <c r="Z20" s="208"/>
      <c r="AA20" s="208"/>
      <c r="AB20" s="208"/>
      <c r="AC20" s="208"/>
      <c r="AD20" s="208"/>
      <c r="AE20" s="208"/>
      <c r="AF20" s="208"/>
      <c r="AG20" s="208"/>
      <c r="AH20" s="220"/>
      <c r="AI20" s="219"/>
      <c r="AJ20" s="203">
        <f t="shared" si="0"/>
        <v>0</v>
      </c>
    </row>
    <row r="21" spans="1:36" ht="17.25" customHeight="1" x14ac:dyDescent="0.2">
      <c r="A21" s="209" t="s">
        <v>145</v>
      </c>
      <c r="B21" s="205">
        <f>'Jun2025 '!B21+1.25- (COUNTIF(E21:AI21, "VL") * 1) - (COUNTIF(E21:AI21, "HDL") * 0.5)</f>
        <v>4.5</v>
      </c>
      <c r="C21" s="206">
        <f>'Jun2025 '!C21-COUNTIF(E21:AI21, "SL")-(COUNTIF(E21:AI21, "HDSL") * 0.5)</f>
        <v>1</v>
      </c>
      <c r="D21" s="207">
        <f>'Jun2025 '!D21-COUNTIF(E21:AI21, "SPL")</f>
        <v>0</v>
      </c>
      <c r="E21" s="208"/>
      <c r="F21" s="208"/>
      <c r="G21" s="208"/>
      <c r="H21" s="208"/>
      <c r="I21" s="208"/>
      <c r="J21" s="208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  <c r="AD21" s="208"/>
      <c r="AE21" s="208"/>
      <c r="AF21" s="208"/>
      <c r="AG21" s="208"/>
      <c r="AH21" s="220"/>
      <c r="AI21" s="219"/>
      <c r="AJ21" s="203">
        <f t="shared" si="0"/>
        <v>0</v>
      </c>
    </row>
    <row r="22" spans="1:36" ht="17.25" customHeight="1" x14ac:dyDescent="0.2">
      <c r="A22" s="209" t="s">
        <v>349</v>
      </c>
      <c r="B22" s="205">
        <f>'Jun2025 '!B22+1.25- (COUNTIF(E22:AI22, "VL") * 1) - (COUNTIF(E22:AI22, "HDL") * 0.5)</f>
        <v>10</v>
      </c>
      <c r="C22" s="206">
        <f>'Jun2025 '!C22+0.416-COUNTIF(E22:AI22, "SL")-(COUNTIF(E22:AI22, "HDSL") * 0.5)</f>
        <v>2.3319999999999959</v>
      </c>
      <c r="D22" s="207">
        <f>'Jun2025 '!D22-COUNTIF(E22:AI22, "SPL")</f>
        <v>0</v>
      </c>
      <c r="E22" s="208"/>
      <c r="F22" s="208"/>
      <c r="G22" s="208"/>
      <c r="H22" s="208"/>
      <c r="I22" s="208"/>
      <c r="J22" s="208"/>
      <c r="K22" s="208"/>
      <c r="L22" s="208"/>
      <c r="M22" s="208"/>
      <c r="N22" s="208" t="s">
        <v>173</v>
      </c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208"/>
      <c r="AG22" s="208"/>
      <c r="AH22" s="220"/>
      <c r="AI22" s="219"/>
      <c r="AJ22" s="203">
        <f t="shared" si="0"/>
        <v>1</v>
      </c>
    </row>
    <row r="23" spans="1:36" ht="17.25" customHeight="1" x14ac:dyDescent="0.2">
      <c r="A23" s="209" t="s">
        <v>150</v>
      </c>
      <c r="B23" s="205">
        <f>'Jun2025 '!B23+1.25- (COUNTIF(E23:AI23, "VL") * 1) - (COUNTIF(E23:AI23, "HDL") * 0.5)</f>
        <v>4</v>
      </c>
      <c r="C23" s="206">
        <f>'Jun2025 '!C23-COUNTIF(E23:AI23, "SL")-(COUNTIF(E23:AI23, "HDSL") * 0.5)</f>
        <v>0</v>
      </c>
      <c r="D23" s="207">
        <f>'Jun2025 '!D23-COUNTIF(E23:AI23, "SPL")</f>
        <v>0</v>
      </c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19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8"/>
      <c r="AH23" s="220"/>
      <c r="AI23" s="219"/>
      <c r="AJ23" s="203">
        <f t="shared" si="0"/>
        <v>0</v>
      </c>
    </row>
    <row r="24" spans="1:36" ht="17.25" customHeight="1" x14ac:dyDescent="0.2">
      <c r="A24" s="209" t="s">
        <v>147</v>
      </c>
      <c r="B24" s="205">
        <f>'Jun2025 '!B24+1.25- (COUNTIF(E24:AI24, "VL") * 1) - (COUNTIF(E24:AI24, "HDL") * 0.5)</f>
        <v>1.75</v>
      </c>
      <c r="C24" s="206">
        <f>'Jun2025 '!C24-COUNTIF(E24:AI24, "SL")-(COUNTIF(E24:AI24, "HDSL") * 0.5)</f>
        <v>0</v>
      </c>
      <c r="D24" s="207">
        <f>'Jun2025 '!D24-COUNTIF(E24:AI24, "SPL")</f>
        <v>4</v>
      </c>
      <c r="E24" s="208"/>
      <c r="F24" s="208" t="s">
        <v>172</v>
      </c>
      <c r="G24" s="208" t="s">
        <v>172</v>
      </c>
      <c r="H24" s="208" t="s">
        <v>173</v>
      </c>
      <c r="I24" s="208"/>
      <c r="J24" s="208"/>
      <c r="K24" s="208"/>
      <c r="L24" s="208"/>
      <c r="M24" s="208" t="s">
        <v>173</v>
      </c>
      <c r="N24" s="208" t="s">
        <v>172</v>
      </c>
      <c r="O24" s="208" t="s">
        <v>173</v>
      </c>
      <c r="P24" s="198"/>
      <c r="Q24" s="208"/>
      <c r="R24" s="208"/>
      <c r="S24" s="208" t="s">
        <v>172</v>
      </c>
      <c r="T24" s="208" t="s">
        <v>173</v>
      </c>
      <c r="U24" s="208" t="s">
        <v>172</v>
      </c>
      <c r="V24" s="208" t="s">
        <v>173</v>
      </c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20"/>
      <c r="AI24" s="219"/>
      <c r="AJ24" s="203">
        <f t="shared" si="0"/>
        <v>5</v>
      </c>
    </row>
    <row r="25" spans="1:36" ht="17.25" customHeight="1" x14ac:dyDescent="0.2">
      <c r="A25" s="209" t="s">
        <v>168</v>
      </c>
      <c r="B25" s="205">
        <f>'Jun2025 '!B25+1.25- (COUNTIF(E25:AI25, "VL") * 1) - (COUNTIF(E25:AI25, "HDL") * 0.5)</f>
        <v>1.75</v>
      </c>
      <c r="C25" s="206">
        <f>'Jun2025 '!C25-COUNTIF(E25:AI25, "SL")-(COUNTIF(E25:AI25, "HDSL") * 0.5)</f>
        <v>0.5</v>
      </c>
      <c r="D25" s="207">
        <f>'Jun2025 '!D25-COUNTIF(E25:AI25, "SPL")</f>
        <v>0</v>
      </c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20"/>
      <c r="AI25" s="219"/>
      <c r="AJ25" s="203">
        <f t="shared" si="0"/>
        <v>0</v>
      </c>
    </row>
    <row r="26" spans="1:36" ht="17.25" customHeight="1" x14ac:dyDescent="0.2">
      <c r="A26" s="209" t="s">
        <v>156</v>
      </c>
      <c r="B26" s="205">
        <f>'Jun2025 '!B26+1.25- (COUNTIF(E26:AI26, "VL") * 1) - (COUNTIF(E26:AI26, "HDL") * 0.5)</f>
        <v>3.5</v>
      </c>
      <c r="C26" s="206">
        <f>'Jun2025 '!C26-COUNTIF(E26:AI26, "SL")-(COUNTIF(E26:AI26, "HDSL") * 0.5)</f>
        <v>1</v>
      </c>
      <c r="D26" s="207">
        <f>'Jun2025 '!D26-COUNTIF(E26:AI26, "SPL")</f>
        <v>0</v>
      </c>
      <c r="E26" s="208"/>
      <c r="F26" s="208"/>
      <c r="G26" s="208"/>
      <c r="H26" s="208" t="s">
        <v>172</v>
      </c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 t="s">
        <v>173</v>
      </c>
      <c r="AD26" s="208"/>
      <c r="AE26" s="208"/>
      <c r="AF26" s="208"/>
      <c r="AG26" s="208"/>
      <c r="AH26" s="220"/>
      <c r="AI26" s="219"/>
      <c r="AJ26" s="203">
        <f t="shared" si="0"/>
        <v>1</v>
      </c>
    </row>
    <row r="27" spans="1:36" ht="17.25" customHeight="1" x14ac:dyDescent="0.2">
      <c r="A27" s="209" t="s">
        <v>183</v>
      </c>
      <c r="B27" s="205">
        <f>'Jun2025 '!B27+1.25- (COUNTIF(E27:AI27, "VL") * 1) - (COUNTIF(E27:AI27, "HDL") * 0.5)</f>
        <v>1.75</v>
      </c>
      <c r="C27" s="206">
        <f>'Jun2025 '!C27-COUNTIF(E27:AI27, "SL")-(COUNTIF(E27:AI27, "HDSL") * 0.5)</f>
        <v>1</v>
      </c>
      <c r="D27" s="207">
        <f>'Jun2025 '!D27-COUNTIF(E27:AI27, "SPL")</f>
        <v>4</v>
      </c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 t="s">
        <v>173</v>
      </c>
      <c r="X27" s="208"/>
      <c r="Y27" s="208"/>
      <c r="Z27" s="208"/>
      <c r="AA27" s="208" t="s">
        <v>172</v>
      </c>
      <c r="AB27" s="208" t="s">
        <v>172</v>
      </c>
      <c r="AC27" s="208" t="s">
        <v>172</v>
      </c>
      <c r="AD27" s="208" t="s">
        <v>172</v>
      </c>
      <c r="AE27" s="208"/>
      <c r="AF27" s="208"/>
      <c r="AG27" s="208"/>
      <c r="AH27" s="220"/>
      <c r="AI27" s="219"/>
      <c r="AJ27" s="203">
        <f t="shared" si="0"/>
        <v>1</v>
      </c>
    </row>
    <row r="28" spans="1:36" ht="17.25" customHeight="1" x14ac:dyDescent="0.2">
      <c r="A28" s="209" t="s">
        <v>350</v>
      </c>
      <c r="B28" s="205">
        <f>'Jun2025 '!B28+1.25- (COUNTIF(E28:AI28, "VL") * 1) - (COUNTIF(E28:AI28, "HDL") * 0.5)</f>
        <v>10</v>
      </c>
      <c r="C28" s="206">
        <f>'Jun2025 '!C28-COUNTIF(E28:AI28, "SL")-(COUNTIF(E28:AI28, "HDSL") * 0.5)</f>
        <v>2.9166666666666621</v>
      </c>
      <c r="D28" s="207">
        <f>'Jun2025 '!D28-COUNTIF(E28:AI28, "SPL")</f>
        <v>0</v>
      </c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20"/>
      <c r="AI28" s="219"/>
      <c r="AJ28" s="203">
        <f t="shared" si="0"/>
        <v>0</v>
      </c>
    </row>
    <row r="29" spans="1:36" ht="17.25" customHeight="1" x14ac:dyDescent="0.2">
      <c r="A29" s="209" t="s">
        <v>146</v>
      </c>
      <c r="B29" s="205">
        <f>'Jun2025 '!B29+1.25- (COUNTIF(E29:AI29, "VL") * 1) - (COUNTIF(E29:AI29, "HDL") * 0.5)</f>
        <v>7.25</v>
      </c>
      <c r="C29" s="206">
        <f>'Jun2025 '!C29-COUNTIF(E29:AI29, "SL")-(COUNTIF(E29:AI29, "HDSL") * 0.5)</f>
        <v>0</v>
      </c>
      <c r="D29" s="207">
        <f>'Jun2025 '!D29-COUNTIF(E29:AI29, "SPL")</f>
        <v>0</v>
      </c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 t="s">
        <v>173</v>
      </c>
      <c r="AH29" s="208" t="s">
        <v>172</v>
      </c>
      <c r="AI29" s="219"/>
      <c r="AJ29" s="203">
        <f t="shared" si="0"/>
        <v>1</v>
      </c>
    </row>
    <row r="30" spans="1:36" ht="17.25" customHeight="1" x14ac:dyDescent="0.2">
      <c r="A30" s="204" t="s">
        <v>184</v>
      </c>
      <c r="B30" s="205">
        <f>'Jun2025 '!B30+1.25- (COUNTIF(E30:AI30, "VL") * 1) - (COUNTIF(E30:AI30, "HDL") * 0.5)</f>
        <v>5.25</v>
      </c>
      <c r="C30" s="206">
        <f>'Jun2025 '!C30-COUNTIF(E30:AI30, "SL")-(COUNTIF(E30:AI30, "HDSL") * 0.5)</f>
        <v>0</v>
      </c>
      <c r="D30" s="207">
        <f>'Jun2025 '!D30-COUNTIF(E30:AI30, "SPL")</f>
        <v>0</v>
      </c>
      <c r="E30" s="208"/>
      <c r="F30" s="208"/>
      <c r="G30" s="208"/>
      <c r="H30" s="208"/>
      <c r="I30" s="208"/>
      <c r="J30" s="208"/>
      <c r="K30" s="208"/>
      <c r="L30" s="208" t="s">
        <v>172</v>
      </c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 t="s">
        <v>172</v>
      </c>
      <c r="AG30" s="208"/>
      <c r="AH30" s="220"/>
      <c r="AI30" s="219"/>
      <c r="AJ30" s="203">
        <f t="shared" si="0"/>
        <v>0</v>
      </c>
    </row>
    <row r="31" spans="1:36" ht="17.25" customHeight="1" x14ac:dyDescent="0.2">
      <c r="A31" s="213" t="s">
        <v>351</v>
      </c>
      <c r="B31" s="205">
        <f>'Jun2025 '!B31+1.25- (COUNTIF(E31:AI31, "VL") * 1) - (COUNTIF(E31:AI31, "HDL") * 0.5)</f>
        <v>10</v>
      </c>
      <c r="C31" s="206">
        <f>'Jun2025 '!C31+0.416666666666666-COUNTIF(E31:AI31, "SL")-(COUNTIF(E31:AI31, "HDSL") * 0.5)</f>
        <v>3.3333333333333282</v>
      </c>
      <c r="D31" s="207">
        <f>'Jun2025 '!D31-COUNTIF(E31:AI31, "SPL")</f>
        <v>0</v>
      </c>
      <c r="E31" s="208"/>
      <c r="F31" s="208"/>
      <c r="G31" s="208"/>
      <c r="H31" s="208"/>
      <c r="I31" s="208"/>
      <c r="J31" s="208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  <c r="AA31" s="208"/>
      <c r="AB31" s="208"/>
      <c r="AC31" s="208"/>
      <c r="AD31" s="208"/>
      <c r="AE31" s="208"/>
      <c r="AF31" s="208"/>
      <c r="AG31" s="208"/>
      <c r="AH31" s="220"/>
      <c r="AI31" s="219"/>
      <c r="AJ31" s="203">
        <f t="shared" si="0"/>
        <v>0</v>
      </c>
    </row>
    <row r="32" spans="1:36" ht="17.25" customHeight="1" x14ac:dyDescent="0.2">
      <c r="A32" s="212" t="s">
        <v>335</v>
      </c>
      <c r="B32" s="205">
        <f>'Jun2025 '!B32+1.25- (COUNTIF(E32:AI32, "VL") * 1) - (COUNTIF(E32:AI32, "HDL") * 0.5)</f>
        <v>9.25</v>
      </c>
      <c r="C32" s="206">
        <f>'Jun2025 '!C32+0.416666666666666-COUNTIF(E32:AI32, "SL")-(COUNTIF(E32:AI32, "HDSL") * 0.5)</f>
        <v>2.7499999999999942</v>
      </c>
      <c r="D32" s="207">
        <f>'Jun2025 '!D32-COUNTIF(E32:AI32, "SPL")</f>
        <v>0</v>
      </c>
      <c r="E32" s="208" t="s">
        <v>172</v>
      </c>
      <c r="F32" s="208" t="s">
        <v>172</v>
      </c>
      <c r="G32" s="208"/>
      <c r="H32" s="208"/>
      <c r="I32" s="208"/>
      <c r="J32" s="208"/>
      <c r="K32" s="208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  <c r="AA32" s="208"/>
      <c r="AB32" s="208"/>
      <c r="AC32" s="208"/>
      <c r="AD32" s="208" t="s">
        <v>173</v>
      </c>
      <c r="AE32" s="208"/>
      <c r="AF32" s="208"/>
      <c r="AG32" s="208"/>
      <c r="AH32" s="220"/>
      <c r="AI32" s="219"/>
      <c r="AJ32" s="203">
        <f t="shared" si="0"/>
        <v>1</v>
      </c>
    </row>
    <row r="33" spans="1:36" ht="17.25" customHeight="1" x14ac:dyDescent="0.2">
      <c r="A33" s="212" t="s">
        <v>336</v>
      </c>
      <c r="B33" s="205">
        <f>'Jun2025 '!B33+1.25- (COUNTIF(E33:AI33, "VL") * 1) - (COUNTIF(E33:AI33, "HDL") * 0.5)</f>
        <v>9.25</v>
      </c>
      <c r="C33" s="206">
        <f>'Jun2025 '!C33+0.416666666666666-COUNTIF(E33:AI33, "SL")-(COUNTIF(E33:AI33, "HDSL") * 0.5)</f>
        <v>1.7499999999999942</v>
      </c>
      <c r="D33" s="207">
        <f>'Jun2025 '!D33-COUNTIF(E33:AI33, "SPL")</f>
        <v>0</v>
      </c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20"/>
      <c r="AI33" s="219"/>
      <c r="AJ33" s="203">
        <f t="shared" si="0"/>
        <v>0</v>
      </c>
    </row>
    <row r="34" spans="1:36" ht="17.25" customHeight="1" x14ac:dyDescent="0.2">
      <c r="A34" s="204" t="s">
        <v>157</v>
      </c>
      <c r="B34" s="205">
        <f>'Jun2025 '!B34+1.25- (COUNTIF(E34:AI34, "VL") * 1) - (COUNTIF(E34:AI34, "HDL") * 0.5)</f>
        <v>6.5</v>
      </c>
      <c r="C34" s="206">
        <f>'Jun2025 '!C34-COUNTIF(E34:AI34, "SL")-(COUNTIF(E34:AI34, "HDSL") * 0.5)</f>
        <v>0</v>
      </c>
      <c r="D34" s="207">
        <f>'Jun2025 '!D34-COUNTIF(E34:AI34, "SPL")</f>
        <v>0</v>
      </c>
      <c r="E34" s="208"/>
      <c r="F34" s="208" t="s">
        <v>173</v>
      </c>
      <c r="G34" s="208"/>
      <c r="H34" s="208"/>
      <c r="I34" s="208"/>
      <c r="J34" s="208"/>
      <c r="K34" s="208"/>
      <c r="L34" s="208"/>
      <c r="M34" s="208"/>
      <c r="N34" s="208"/>
      <c r="O34" s="208"/>
      <c r="P34" s="208"/>
      <c r="Q34" s="208"/>
      <c r="R34" s="208"/>
      <c r="S34" s="208"/>
      <c r="T34" s="208" t="s">
        <v>172</v>
      </c>
      <c r="U34" s="208" t="s">
        <v>172</v>
      </c>
      <c r="V34" s="208"/>
      <c r="W34" s="208"/>
      <c r="X34" s="208"/>
      <c r="Y34" s="208"/>
      <c r="Z34" s="208"/>
      <c r="AA34" s="208"/>
      <c r="AB34" s="208"/>
      <c r="AC34" s="208"/>
      <c r="AD34" s="208"/>
      <c r="AE34" s="208"/>
      <c r="AF34" s="208" t="s">
        <v>172</v>
      </c>
      <c r="AG34" s="208"/>
      <c r="AH34" s="220"/>
      <c r="AI34" s="219"/>
      <c r="AJ34" s="203">
        <f t="shared" si="0"/>
        <v>1</v>
      </c>
    </row>
    <row r="35" spans="1:36" ht="17.25" customHeight="1" x14ac:dyDescent="0.2">
      <c r="A35" s="204" t="s">
        <v>161</v>
      </c>
      <c r="B35" s="205">
        <f>'Jun2025 '!B35+1.25- (COUNTIF(E35:AI35, "VL") * 1) - (COUNTIF(E35:AI35, "HDL") * 0.5)</f>
        <v>1.25</v>
      </c>
      <c r="C35" s="206">
        <f>'Jun2025 '!C35-COUNTIF(E35:AI35, "SL")-(COUNTIF(E35:AI35, "HDSL") * 0.5)</f>
        <v>0</v>
      </c>
      <c r="D35" s="207">
        <f>'Jun2025 '!D35-COUNTIF(E35:AI35, "SPL")</f>
        <v>0</v>
      </c>
      <c r="E35" s="208"/>
      <c r="F35" s="208"/>
      <c r="G35" s="208"/>
      <c r="H35" s="208"/>
      <c r="I35" s="208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 t="s">
        <v>182</v>
      </c>
      <c r="V35" s="208" t="s">
        <v>172</v>
      </c>
      <c r="W35" s="208"/>
      <c r="X35" s="208"/>
      <c r="Y35" s="208"/>
      <c r="Z35" s="208"/>
      <c r="AA35" s="208"/>
      <c r="AB35" s="208"/>
      <c r="AC35" s="208"/>
      <c r="AD35" s="208"/>
      <c r="AE35" s="208"/>
      <c r="AF35" s="208"/>
      <c r="AG35" s="208"/>
      <c r="AH35" s="220"/>
      <c r="AI35" s="219"/>
      <c r="AJ35" s="203">
        <f t="shared" si="0"/>
        <v>0</v>
      </c>
    </row>
    <row r="36" spans="1:36" ht="17.25" customHeight="1" x14ac:dyDescent="0.2">
      <c r="A36" s="209" t="s">
        <v>338</v>
      </c>
      <c r="B36" s="205">
        <f>'Jun2025 '!B36+1.25- (COUNTIF(E36:AI36, "VL") * 1) - (COUNTIF(E36:AI36, "HDL") * 0.5)</f>
        <v>9.25</v>
      </c>
      <c r="C36" s="206">
        <f>'Jun2025 '!C36+0.416666666666666-COUNTIF(E36:AI36, "SL")-(COUNTIF(E36:AI36, "HDSL") * 0.5)</f>
        <v>3.7499999999999942</v>
      </c>
      <c r="D36" s="207">
        <f>'Jun2025 '!D36-COUNTIF(E36:AI36, "SPL")</f>
        <v>0</v>
      </c>
      <c r="E36" s="208"/>
      <c r="F36" s="208"/>
      <c r="G36" s="208"/>
      <c r="H36" s="208"/>
      <c r="I36" s="208"/>
      <c r="J36" s="208"/>
      <c r="K36" s="208"/>
      <c r="L36" s="208"/>
      <c r="M36" s="208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  <c r="AA36" s="208"/>
      <c r="AB36" s="208"/>
      <c r="AC36" s="208"/>
      <c r="AD36" s="208"/>
      <c r="AE36" s="208"/>
      <c r="AF36" s="208"/>
      <c r="AG36" s="208"/>
      <c r="AH36" s="220"/>
      <c r="AI36" s="219" t="s">
        <v>172</v>
      </c>
      <c r="AJ36" s="203">
        <f t="shared" si="0"/>
        <v>0</v>
      </c>
    </row>
    <row r="37" spans="1:36" ht="17.25" customHeight="1" x14ac:dyDescent="0.2">
      <c r="A37" s="209" t="s">
        <v>167</v>
      </c>
      <c r="B37" s="205">
        <f>'Jun2025 '!B37+1.25- (COUNTIF(E37:AI37, "VL") * 1) - (COUNTIF(E37:AI37, "HDL") * 0.5)</f>
        <v>12</v>
      </c>
      <c r="C37" s="206">
        <f>'Jun2025 '!C37-COUNTIF(E37:AI37, "SL")-(COUNTIF(E37:AI37, "HDSL") * 0.5)</f>
        <v>3</v>
      </c>
      <c r="D37" s="207">
        <f>'Jun2025 '!D37-COUNTIF(E37:AI37, "SPL")</f>
        <v>0</v>
      </c>
      <c r="E37" s="208"/>
      <c r="F37" s="208"/>
      <c r="G37" s="208"/>
      <c r="H37" s="208"/>
      <c r="I37" s="208"/>
      <c r="J37" s="208"/>
      <c r="K37" s="208"/>
      <c r="L37" s="208"/>
      <c r="M37" s="208"/>
      <c r="N37" s="208"/>
      <c r="O37" s="208"/>
      <c r="P37" s="208"/>
      <c r="Q37" s="208"/>
      <c r="R37" s="208"/>
      <c r="S37" s="208"/>
      <c r="T37" s="208"/>
      <c r="U37" s="218"/>
      <c r="V37" s="218"/>
      <c r="W37" s="218"/>
      <c r="X37" s="218"/>
      <c r="Y37" s="208"/>
      <c r="Z37" s="208"/>
      <c r="AA37" s="208"/>
      <c r="AB37" s="208"/>
      <c r="AC37" s="208"/>
      <c r="AD37" s="208"/>
      <c r="AE37" s="208"/>
      <c r="AF37" s="208"/>
      <c r="AG37" s="208"/>
      <c r="AH37" s="220"/>
      <c r="AI37" s="219"/>
      <c r="AJ37" s="203">
        <f t="shared" si="0"/>
        <v>0</v>
      </c>
    </row>
    <row r="38" spans="1:36" ht="17.25" customHeight="1" x14ac:dyDescent="0.2">
      <c r="A38" s="209" t="s">
        <v>353</v>
      </c>
      <c r="B38" s="205">
        <f>'Jun2025 '!B38+1.25- (COUNTIF(E38:AI38, "VL") * 1) - (COUNTIF(E38:AI38, "HDL") * 0.5)</f>
        <v>6</v>
      </c>
      <c r="C38" s="206">
        <f>'Jun2025 '!C38+0.416666666666666-COUNTIF(E38:AI38, "SL")-(COUNTIF(E38:AI38, "HDSL") * 0.5)</f>
        <v>1.3333333333333282</v>
      </c>
      <c r="D38" s="207">
        <f>'Jun2025 '!D38-COUNTIF(E38:AI38, "SPL")</f>
        <v>0</v>
      </c>
      <c r="E38" s="208"/>
      <c r="F38" s="208"/>
      <c r="G38" s="208"/>
      <c r="H38" s="208"/>
      <c r="I38" s="208"/>
      <c r="J38" s="208"/>
      <c r="K38" s="208"/>
      <c r="L38" s="208" t="s">
        <v>172</v>
      </c>
      <c r="M38" s="208" t="s">
        <v>172</v>
      </c>
      <c r="N38" s="208" t="s">
        <v>172</v>
      </c>
      <c r="O38" s="208" t="s">
        <v>172</v>
      </c>
      <c r="P38" s="208"/>
      <c r="Q38" s="208"/>
      <c r="R38" s="208"/>
      <c r="S38" s="208" t="s">
        <v>173</v>
      </c>
      <c r="T38" s="208"/>
      <c r="U38" s="208"/>
      <c r="V38" s="208"/>
      <c r="W38" s="208"/>
      <c r="X38" s="208"/>
      <c r="Y38" s="208"/>
      <c r="Z38" s="208"/>
      <c r="AA38" s="208"/>
      <c r="AB38" s="208"/>
      <c r="AC38" s="208"/>
      <c r="AD38" s="208"/>
      <c r="AE38" s="208"/>
      <c r="AF38" s="208"/>
      <c r="AG38" s="211"/>
      <c r="AH38" s="222"/>
      <c r="AI38" s="219"/>
      <c r="AJ38" s="203">
        <f t="shared" si="0"/>
        <v>1</v>
      </c>
    </row>
    <row r="39" spans="1:36" ht="17.25" customHeight="1" x14ac:dyDescent="0.2">
      <c r="A39" s="204" t="s">
        <v>159</v>
      </c>
      <c r="B39" s="205">
        <f>'Jun2025 '!B39+1.25- (COUNTIF(E39:AI39, "VL") * 1) - (COUNTIF(E39:AI39, "HDL") * 0.5)</f>
        <v>8.75</v>
      </c>
      <c r="C39" s="206">
        <f>'Jun2025 '!C39-COUNTIF(E39:AI39, "SL")-(COUNTIF(E39:AI39, "HDSL") * 0.5)</f>
        <v>1</v>
      </c>
      <c r="D39" s="207">
        <f>'Jun2025 '!D39-COUNTIF(E39:AI39, "SPL")</f>
        <v>0</v>
      </c>
      <c r="E39" s="208" t="s">
        <v>173</v>
      </c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208" t="s">
        <v>173</v>
      </c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08"/>
      <c r="AD39" s="208"/>
      <c r="AE39" s="208"/>
      <c r="AF39" s="208"/>
      <c r="AG39" s="208"/>
      <c r="AH39" s="220"/>
      <c r="AI39" s="219"/>
      <c r="AJ39" s="203">
        <f t="shared" si="0"/>
        <v>2</v>
      </c>
    </row>
    <row r="40" spans="1:36" ht="17.25" customHeight="1" x14ac:dyDescent="0.2">
      <c r="A40" s="204" t="s">
        <v>223</v>
      </c>
      <c r="B40" s="205">
        <f>'Jun2025 '!B40+1.25- (COUNTIF(E40:AI40, "VL") * 1) - (COUNTIF(E40:AI40, "HDL") * 0.5)</f>
        <v>7.75</v>
      </c>
      <c r="C40" s="206">
        <f>'Jun2025 '!C40+0.416666666666666-COUNTIF(E40:AI40, "SL")-(COUNTIF(E40:AI40, "HDSL") * 0.5)</f>
        <v>3.5793333333333304</v>
      </c>
      <c r="D40" s="207">
        <f>'Jun2025 '!D40-COUNTIF(E40:AI40, "SPL")</f>
        <v>0</v>
      </c>
      <c r="E40" s="208"/>
      <c r="F40" s="208"/>
      <c r="G40" s="208"/>
      <c r="H40" s="208"/>
      <c r="I40" s="208"/>
      <c r="J40" s="208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  <c r="AA40" s="208"/>
      <c r="AB40" s="208"/>
      <c r="AC40" s="208"/>
      <c r="AD40" s="208"/>
      <c r="AE40" s="208"/>
      <c r="AF40" s="208"/>
      <c r="AG40" s="208"/>
      <c r="AH40" s="220"/>
      <c r="AI40" s="219"/>
      <c r="AJ40" s="203">
        <f t="shared" si="0"/>
        <v>0</v>
      </c>
    </row>
    <row r="41" spans="1:36" ht="17.25" customHeight="1" x14ac:dyDescent="0.2">
      <c r="A41" s="204" t="s">
        <v>185</v>
      </c>
      <c r="B41" s="205">
        <f>'Jun2025 '!B41+1.25- (COUNTIF(E41:AI41, "VL") * 1) - (COUNTIF(E41:AI41, "HDL") * 0.5)</f>
        <v>5.25</v>
      </c>
      <c r="C41" s="206">
        <f>'Jun2025 '!C41-COUNTIF(E41:AI41, "SL")-(COUNTIF(E41:AI41, "HDSL") * 0.5)</f>
        <v>3</v>
      </c>
      <c r="D41" s="207">
        <f>'Jun2025 '!D41-COUNTIF(E41:AI41, "SPL")</f>
        <v>0</v>
      </c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 t="s">
        <v>172</v>
      </c>
      <c r="Z41" s="208" t="s">
        <v>172</v>
      </c>
      <c r="AA41" s="208" t="s">
        <v>172</v>
      </c>
      <c r="AB41" s="208" t="s">
        <v>172</v>
      </c>
      <c r="AC41" s="208" t="s">
        <v>172</v>
      </c>
      <c r="AD41" s="208"/>
      <c r="AE41" s="208"/>
      <c r="AF41" s="208"/>
      <c r="AG41" s="208"/>
      <c r="AH41" s="220"/>
      <c r="AI41" s="219"/>
      <c r="AJ41" s="203">
        <f t="shared" si="0"/>
        <v>0</v>
      </c>
    </row>
    <row r="42" spans="1:36" ht="17.25" customHeight="1" x14ac:dyDescent="0.2">
      <c r="A42" s="204" t="s">
        <v>148</v>
      </c>
      <c r="B42" s="205">
        <f>'Jun2025 '!B42+1.25- (COUNTIF(E42:AI42, "VL") * 1) - (COUNTIF(E42:AI42, "HDL") * 0.5)</f>
        <v>7.25</v>
      </c>
      <c r="C42" s="206">
        <f>'Jun2025 '!C42-COUNTIF(E42:AI42, "SL")-(COUNTIF(E42:AI42, "HDSL") * 0.5)</f>
        <v>0.5</v>
      </c>
      <c r="D42" s="207">
        <f>'Jun2025 '!D42-COUNTIF(E42:AI42, "SPL")</f>
        <v>0</v>
      </c>
      <c r="E42" s="208"/>
      <c r="F42" s="208"/>
      <c r="G42" s="20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  <c r="AA42" s="208"/>
      <c r="AB42" s="208"/>
      <c r="AC42" s="208"/>
      <c r="AD42" s="208"/>
      <c r="AE42" s="208"/>
      <c r="AF42" s="208"/>
      <c r="AG42" s="208"/>
      <c r="AH42" s="220"/>
      <c r="AI42" s="219"/>
      <c r="AJ42" s="203">
        <f t="shared" si="0"/>
        <v>0</v>
      </c>
    </row>
    <row r="43" spans="1:36" ht="17.25" customHeight="1" x14ac:dyDescent="0.2">
      <c r="A43" s="204" t="s">
        <v>171</v>
      </c>
      <c r="B43" s="205">
        <f>'Jun2025 '!B43+1.25- (COUNTIF(E43:AI43, "VL") * 1) - (COUNTIF(E43:AI43, "HDL") * 0.5)</f>
        <v>22.75</v>
      </c>
      <c r="C43" s="206">
        <f>'Jun2025 '!C43-COUNTIF(E43:AI43, "SL")-(COUNTIF(E43:AI43, "HDSL") * 0.5)</f>
        <v>1</v>
      </c>
      <c r="D43" s="207">
        <f>'Jun2025 '!D43-COUNTIF(E43:AI43, "SPL")</f>
        <v>0</v>
      </c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  <c r="AA43" s="208"/>
      <c r="AB43" s="208"/>
      <c r="AC43" s="208"/>
      <c r="AD43" s="208"/>
      <c r="AE43" s="208"/>
      <c r="AF43" s="208"/>
      <c r="AG43" s="208"/>
      <c r="AH43" s="220" t="s">
        <v>173</v>
      </c>
      <c r="AI43" s="219"/>
      <c r="AJ43" s="203">
        <f t="shared" si="0"/>
        <v>1</v>
      </c>
    </row>
    <row r="44" spans="1:36" ht="17.25" customHeight="1" x14ac:dyDescent="0.2">
      <c r="A44" s="204" t="s">
        <v>186</v>
      </c>
      <c r="B44" s="205">
        <f>'Jun2025 '!B44+1.25- (COUNTIF(E44:AI44, "VL") * 1) - (COUNTIF(E44:AI44, "HDL") * 0.5)</f>
        <v>11.25</v>
      </c>
      <c r="C44" s="206">
        <f>'Jun2025 '!C44-COUNTIF(E44:AI44, "SL")-(COUNTIF(E44:AI44, "HDSL") * 0.5)</f>
        <v>4.5</v>
      </c>
      <c r="D44" s="207">
        <f>'Jun2025 '!D44-COUNTIF(E44:AI44, "SPL")</f>
        <v>0</v>
      </c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  <c r="AA44" s="208"/>
      <c r="AB44" s="208"/>
      <c r="AC44" s="208"/>
      <c r="AD44" s="208"/>
      <c r="AE44" s="208"/>
      <c r="AF44" s="208"/>
      <c r="AG44" s="208"/>
      <c r="AH44" s="220"/>
      <c r="AI44" s="219"/>
      <c r="AJ44" s="203">
        <f t="shared" si="0"/>
        <v>0</v>
      </c>
    </row>
    <row r="45" spans="1:36" ht="15.75" customHeight="1" x14ac:dyDescent="0.2">
      <c r="A45" s="209" t="s">
        <v>188</v>
      </c>
      <c r="B45" s="205">
        <f>'Jun2025 '!B45+1.25- (COUNTIF(E45:AI45, "VL") * 1) - (COUNTIF(E45:AI45, "HDL") * 0.5)</f>
        <v>0.75</v>
      </c>
      <c r="C45" s="206">
        <f>'Jun2025 '!C45-COUNTIF(E45:AI45, "SL")-(COUNTIF(E45:AI45, "HDSL") * 0.5)</f>
        <v>0.5</v>
      </c>
      <c r="D45" s="207">
        <f>'Jun2025 '!D45-COUNTIF(E45:AI45, "SPL")</f>
        <v>0</v>
      </c>
      <c r="E45" s="208" t="s">
        <v>172</v>
      </c>
      <c r="F45" s="208"/>
      <c r="G45" s="208"/>
      <c r="H45" s="208"/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 t="s">
        <v>172</v>
      </c>
      <c r="U45" s="208"/>
      <c r="V45" s="208"/>
      <c r="W45" s="208"/>
      <c r="X45" s="208"/>
      <c r="Y45" s="208"/>
      <c r="Z45" s="208"/>
      <c r="AA45" s="208"/>
      <c r="AB45" s="208"/>
      <c r="AC45" s="208"/>
      <c r="AD45" s="208"/>
      <c r="AE45" s="208"/>
      <c r="AF45" s="208"/>
      <c r="AG45" s="208"/>
      <c r="AH45" s="220"/>
      <c r="AI45" s="219"/>
      <c r="AJ45" s="203">
        <f t="shared" si="0"/>
        <v>0</v>
      </c>
    </row>
    <row r="46" spans="1:36" ht="15.75" customHeight="1" x14ac:dyDescent="0.2">
      <c r="A46" s="204" t="s">
        <v>187</v>
      </c>
      <c r="B46" s="205">
        <f>Sept2025!B46+1.25- 'Jul2025'!Y16</f>
        <v>9</v>
      </c>
      <c r="C46" s="206">
        <f>'Jun2025 '!C46-COUNTIF(E46:AI46, "SL")-(COUNTIF(E46:AI46, "HDSL") * 0.5)</f>
        <v>2</v>
      </c>
      <c r="D46" s="207">
        <f>'Jun2025 '!D46-COUNTIF(E46:AI46, "SPL")</f>
        <v>0</v>
      </c>
      <c r="E46" s="208"/>
      <c r="F46" s="208"/>
      <c r="G46" s="208"/>
      <c r="H46" s="208"/>
      <c r="I46" s="208"/>
      <c r="J46" s="208"/>
      <c r="K46" s="208"/>
      <c r="L46" s="208"/>
      <c r="M46" s="208"/>
      <c r="N46" s="208"/>
      <c r="O46" s="208"/>
      <c r="P46" s="208"/>
      <c r="Q46" s="208"/>
      <c r="R46" s="208"/>
      <c r="S46" s="208"/>
      <c r="T46" s="208"/>
      <c r="U46" s="208"/>
      <c r="V46" s="208"/>
      <c r="W46" s="208" t="s">
        <v>182</v>
      </c>
      <c r="X46" s="208"/>
      <c r="Y46" s="208"/>
      <c r="Z46" s="208"/>
      <c r="AA46" s="208" t="s">
        <v>172</v>
      </c>
      <c r="AB46" s="208" t="s">
        <v>172</v>
      </c>
      <c r="AC46" s="208" t="s">
        <v>172</v>
      </c>
      <c r="AD46" s="208" t="s">
        <v>172</v>
      </c>
      <c r="AE46" s="208"/>
      <c r="AF46" s="208"/>
      <c r="AG46" s="208"/>
      <c r="AH46" s="220"/>
      <c r="AI46" s="219"/>
      <c r="AJ46" s="203">
        <f t="shared" si="0"/>
        <v>0</v>
      </c>
    </row>
    <row r="47" spans="1:36" ht="15.75" customHeight="1" x14ac:dyDescent="0.2">
      <c r="A47" s="209" t="s">
        <v>219</v>
      </c>
      <c r="B47" s="205">
        <f>'Jun2025 '!B47+1.25- (COUNTIF(E47:AI47, "VL") * 1) - (COUNTIF(E47:AI47, "HDL") * 0.5)</f>
        <v>16.5</v>
      </c>
      <c r="C47" s="206">
        <f>'Jun2025 '!C47-COUNTIF(E47:AI47, "SL")-(COUNTIF(E47:AI47, "HDSL") * 0.5)</f>
        <v>7.4999999999999964</v>
      </c>
      <c r="D47" s="207">
        <f>'Jun2025 '!D47-COUNTIF(E47:AI47, "SPL")</f>
        <v>0</v>
      </c>
      <c r="E47" s="208"/>
      <c r="F47" s="208"/>
      <c r="G47" s="208"/>
      <c r="H47" s="208"/>
      <c r="I47" s="208"/>
      <c r="J47" s="208"/>
      <c r="K47" s="208"/>
      <c r="L47" s="208"/>
      <c r="M47" s="208"/>
      <c r="N47" s="208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  <c r="AA47" s="208"/>
      <c r="AB47" s="208"/>
      <c r="AC47" s="208"/>
      <c r="AD47" s="208"/>
      <c r="AE47" s="208"/>
      <c r="AF47" s="208"/>
      <c r="AG47" s="208"/>
      <c r="AH47" s="220"/>
      <c r="AI47" s="219"/>
      <c r="AJ47" s="203">
        <f t="shared" si="0"/>
        <v>0</v>
      </c>
    </row>
    <row r="48" spans="1:36" ht="15.75" customHeight="1" x14ac:dyDescent="0.2">
      <c r="A48" s="204" t="s">
        <v>154</v>
      </c>
      <c r="B48" s="205">
        <f>'Jun2025 '!B48+1.25- (COUNTIF(E48:AI48, "VL") * 1) - (COUNTIF(E48:AI48, "HDL") * 0.5)</f>
        <v>1.75</v>
      </c>
      <c r="C48" s="206">
        <f>'Jun2025 '!C48-COUNTIF(E48:AI48, "SL")-(COUNTIF(E48:AI48, "HDSL") * 0.5)</f>
        <v>3</v>
      </c>
      <c r="D48" s="207">
        <f>'Jun2025 '!D48-COUNTIF(E48:AI48, "SPL")</f>
        <v>0</v>
      </c>
      <c r="E48" s="208"/>
      <c r="F48" s="208"/>
      <c r="G48" s="208"/>
      <c r="H48" s="208"/>
      <c r="I48" s="208"/>
      <c r="J48" s="208"/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/>
      <c r="W48" s="208" t="s">
        <v>172</v>
      </c>
      <c r="X48" s="208"/>
      <c r="Y48" s="208"/>
      <c r="Z48" s="208"/>
      <c r="AA48" s="208"/>
      <c r="AB48" s="208"/>
      <c r="AC48" s="208"/>
      <c r="AD48" s="208"/>
      <c r="AE48" s="208"/>
      <c r="AF48" s="208"/>
      <c r="AG48" s="208"/>
      <c r="AH48" s="220"/>
      <c r="AI48" s="219"/>
      <c r="AJ48" s="203">
        <f t="shared" si="0"/>
        <v>0</v>
      </c>
    </row>
    <row r="49" spans="1:36" ht="15.75" customHeight="1" x14ac:dyDescent="0.2">
      <c r="A49" s="204" t="s">
        <v>189</v>
      </c>
      <c r="B49" s="205">
        <f>'Jun2025 '!B49+1.25- (COUNTIF(E42:AI42, "VL") * 1) - (COUNTIF(E42:AI42, "HDL") * 0.5)</f>
        <v>23</v>
      </c>
      <c r="C49" s="206">
        <f>'Jun2025 '!C49-COUNTIF(E49:AI49, "SL")-(COUNTIF(E49:AI49, "HDSL") * 0.5)</f>
        <v>2</v>
      </c>
      <c r="D49" s="207">
        <f>'Jun2025 '!D49-COUNTIF(E49:AI49, "SPL")</f>
        <v>0</v>
      </c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 t="s">
        <v>172</v>
      </c>
      <c r="AB49" s="208" t="s">
        <v>172</v>
      </c>
      <c r="AC49" s="208" t="s">
        <v>172</v>
      </c>
      <c r="AD49" s="208"/>
      <c r="AE49" s="208"/>
      <c r="AF49" s="208"/>
      <c r="AG49" s="211"/>
      <c r="AH49" s="222"/>
      <c r="AI49" s="219"/>
      <c r="AJ49" s="203">
        <f t="shared" si="0"/>
        <v>0</v>
      </c>
    </row>
    <row r="50" spans="1:36" ht="15.75" customHeight="1" x14ac:dyDescent="0.2">
      <c r="A50" s="204" t="s">
        <v>354</v>
      </c>
      <c r="B50" s="205">
        <f>'Jun2025 '!B50+1.25- (COUNTIF(E50:AI50, "VL") * 1) - (COUNTIF(E50:AI50, "HDL") * 0.5)</f>
        <v>10</v>
      </c>
      <c r="C50" s="206">
        <f>'Jun2025 '!C50+0.416-COUNTIF(E50:AI50, "SL")-(COUNTIF(E50:AI50, "HDSL") * 0.5)</f>
        <v>2.332666666666662</v>
      </c>
      <c r="D50" s="207">
        <f>'Jun2025 '!D50-COUNTIF(E50:AI50, "SPL")</f>
        <v>0</v>
      </c>
      <c r="E50" s="208"/>
      <c r="F50" s="208"/>
      <c r="G50" s="208"/>
      <c r="H50" s="208"/>
      <c r="I50" s="208"/>
      <c r="J50" s="208"/>
      <c r="K50" s="208"/>
      <c r="L50" s="208"/>
      <c r="M50" s="208"/>
      <c r="N50" s="208"/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208"/>
      <c r="Z50" s="208"/>
      <c r="AA50" s="208"/>
      <c r="AB50" s="208"/>
      <c r="AC50" s="208"/>
      <c r="AD50" s="208"/>
      <c r="AE50" s="208"/>
      <c r="AF50" s="208"/>
      <c r="AG50" s="211"/>
      <c r="AH50" s="222"/>
      <c r="AI50" s="219"/>
      <c r="AJ50" s="203">
        <f t="shared" si="0"/>
        <v>0</v>
      </c>
    </row>
    <row r="51" spans="1:36" ht="15.75" customHeight="1" x14ac:dyDescent="0.2">
      <c r="A51" s="215" t="s">
        <v>355</v>
      </c>
      <c r="B51" s="205">
        <f>MIN(7.5,15)</f>
        <v>7.5</v>
      </c>
      <c r="C51" s="206">
        <f>MIN(2.5, 5)</f>
        <v>2.5</v>
      </c>
      <c r="D51" s="207">
        <f>'Jun2025 '!D51-COUNTIF(E51:AI51, "SPL")</f>
        <v>0</v>
      </c>
      <c r="E51" s="216"/>
      <c r="F51" s="216"/>
      <c r="G51" s="216"/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6"/>
      <c r="AC51" s="216"/>
      <c r="AD51" s="216"/>
      <c r="AE51" s="216"/>
      <c r="AF51" s="216"/>
      <c r="AG51" s="225"/>
      <c r="AH51" s="226"/>
      <c r="AI51" s="219"/>
      <c r="AJ51" s="203">
        <f t="shared" si="0"/>
        <v>0</v>
      </c>
    </row>
    <row r="52" spans="1:36" ht="15.75" customHeight="1" x14ac:dyDescent="0.2">
      <c r="A52" s="204" t="s">
        <v>155</v>
      </c>
      <c r="B52" s="205">
        <f>'Jun2025 '!B51+1.25- (COUNTIF(E52:AI52, "VL") * 1) - (COUNTIF(E52:AI52, "HDL") * 0.5)</f>
        <v>3</v>
      </c>
      <c r="C52" s="206">
        <f>'Jun2025 '!C51-COUNTIF(E52:AI52, "SL")-(COUNTIF(E52:AI52, "HDSL") * 0.5)</f>
        <v>0</v>
      </c>
      <c r="D52" s="207">
        <f>'Jun2025 '!D51-COUNTIF(E52:AI52, "SPL")</f>
        <v>0</v>
      </c>
      <c r="E52" s="216"/>
      <c r="F52" s="216"/>
      <c r="G52" s="216"/>
      <c r="H52" s="216"/>
      <c r="I52" s="216"/>
      <c r="J52" s="216"/>
      <c r="K52" s="216"/>
      <c r="L52" s="216"/>
      <c r="M52" s="216"/>
      <c r="N52" s="216" t="s">
        <v>172</v>
      </c>
      <c r="O52" s="216"/>
      <c r="P52" s="216"/>
      <c r="Q52" s="216"/>
      <c r="R52" s="216"/>
      <c r="S52" s="216"/>
      <c r="T52" s="216"/>
      <c r="U52" s="216"/>
      <c r="V52" s="216"/>
      <c r="W52" s="216"/>
      <c r="X52" s="216"/>
      <c r="Y52" s="216"/>
      <c r="Z52" s="216"/>
      <c r="AA52" s="216"/>
      <c r="AB52" s="216"/>
      <c r="AC52" s="216"/>
      <c r="AD52" s="216"/>
      <c r="AE52" s="216"/>
      <c r="AF52" s="216"/>
      <c r="AG52" s="216"/>
      <c r="AH52" s="223"/>
      <c r="AI52" s="219"/>
      <c r="AJ52" s="203">
        <f t="shared" si="0"/>
        <v>0</v>
      </c>
    </row>
    <row r="53" spans="1:36" ht="15.75" customHeight="1" x14ac:dyDescent="0.2">
      <c r="A53" s="204" t="s">
        <v>224</v>
      </c>
      <c r="B53" s="205">
        <f>'Jun2025 '!B52+1.25- (COUNTIF(E53:AI53, "VL") * 1) - (COUNTIF(E53:AI53, "HDL") * 0.5)</f>
        <v>10.75</v>
      </c>
      <c r="C53" s="206">
        <f>'Jun2025 '!C52+0.416666666666666-COUNTIF(E53:AI53, "SL")-(COUNTIF(E53:AI53, "HDSL") * 0.5)</f>
        <v>4.5793333333333299</v>
      </c>
      <c r="D53" s="207">
        <f>'Jun2025 '!D52-COUNTIF(E53:AI53, "SPL")</f>
        <v>0</v>
      </c>
      <c r="E53" s="211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  <c r="Z53" s="211"/>
      <c r="AA53" s="211"/>
      <c r="AB53" s="211"/>
      <c r="AC53" s="211"/>
      <c r="AD53" s="211"/>
      <c r="AE53" s="211"/>
      <c r="AF53" s="219" t="s">
        <v>172</v>
      </c>
      <c r="AG53" s="211"/>
      <c r="AH53" s="222"/>
      <c r="AI53" s="219"/>
      <c r="AJ53" s="203">
        <f t="shared" si="0"/>
        <v>0</v>
      </c>
    </row>
    <row r="54" spans="1:36" x14ac:dyDescent="0.2">
      <c r="A54" s="204" t="s">
        <v>166</v>
      </c>
      <c r="B54" s="205">
        <f>'Jun2025 '!B53+1.25- (COUNTIF(E54:AI54, "VL") * 1) - (COUNTIF(E54:AI54, "HDL") * 0.5)</f>
        <v>3</v>
      </c>
      <c r="C54" s="206">
        <f>'Jun2025 '!C53-COUNTIF(E54:AI54, "SL")-(COUNTIF(E54:AI54, "HDSL") * 0.5)</f>
        <v>2</v>
      </c>
      <c r="D54" s="207">
        <f>'Jun2025 '!D53-COUNTIF(E54:AI54, "SPL")</f>
        <v>0</v>
      </c>
      <c r="E54" s="211" t="s">
        <v>172</v>
      </c>
      <c r="F54" s="211" t="s">
        <v>172</v>
      </c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  <c r="Z54" s="211"/>
      <c r="AA54" s="211"/>
      <c r="AB54" s="211"/>
      <c r="AC54" s="211"/>
      <c r="AD54" s="211"/>
      <c r="AE54" s="211"/>
      <c r="AF54" s="211"/>
      <c r="AG54" s="211"/>
      <c r="AH54" s="222"/>
      <c r="AI54" s="219"/>
      <c r="AJ54" s="203">
        <f t="shared" si="0"/>
        <v>0</v>
      </c>
    </row>
    <row r="55" spans="1:36" x14ac:dyDescent="0.2">
      <c r="AJ55" s="203">
        <f t="shared" si="0"/>
        <v>0</v>
      </c>
    </row>
    <row r="56" spans="1:36" x14ac:dyDescent="0.2">
      <c r="AJ56" s="203">
        <f t="shared" si="0"/>
        <v>0</v>
      </c>
    </row>
    <row r="57" spans="1:36" x14ac:dyDescent="0.2">
      <c r="AJ57" s="203">
        <f t="shared" si="0"/>
        <v>0</v>
      </c>
    </row>
    <row r="58" spans="1:36" x14ac:dyDescent="0.2">
      <c r="AJ58" s="203">
        <f t="shared" si="0"/>
        <v>0</v>
      </c>
    </row>
    <row r="59" spans="1:36" x14ac:dyDescent="0.2">
      <c r="AJ59" s="203">
        <f t="shared" si="0"/>
        <v>0</v>
      </c>
    </row>
    <row r="60" spans="1:36" x14ac:dyDescent="0.2">
      <c r="AJ60" s="203">
        <f t="shared" si="0"/>
        <v>0</v>
      </c>
    </row>
    <row r="61" spans="1:36" x14ac:dyDescent="0.2">
      <c r="AJ61" s="203">
        <f t="shared" si="0"/>
        <v>0</v>
      </c>
    </row>
    <row r="62" spans="1:36" x14ac:dyDescent="0.2">
      <c r="AJ62" s="203">
        <f t="shared" si="0"/>
        <v>0</v>
      </c>
    </row>
    <row r="63" spans="1:36" x14ac:dyDescent="0.2">
      <c r="AJ63" s="203">
        <f t="shared" si="0"/>
        <v>0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1DCE-9D47-45AC-A178-614476A6D77F}">
  <sheetPr>
    <tabColor rgb="FFFF0000"/>
  </sheetPr>
  <dimension ref="A1:AJ63"/>
  <sheetViews>
    <sheetView zoomScale="130" zoomScaleNormal="130" workbookViewId="0">
      <pane xSplit="4" ySplit="1" topLeftCell="E45" activePane="bottomRight" state="frozen"/>
      <selection pane="topRight" activeCell="E1" sqref="E1"/>
      <selection pane="bottomLeft" activeCell="A2" sqref="A2"/>
      <selection pane="bottomRight" activeCell="B45" sqref="B45"/>
    </sheetView>
  </sheetViews>
  <sheetFormatPr defaultRowHeight="11.25" x14ac:dyDescent="0.2"/>
  <cols>
    <col min="1" max="1" width="42.83203125" style="203" customWidth="1"/>
    <col min="2" max="4" width="9.33203125" style="203" customWidth="1"/>
    <col min="5" max="33" width="9.33203125" style="203"/>
    <col min="34" max="34" width="9.5" style="203" customWidth="1"/>
    <col min="35" max="16384" width="9.33203125" style="203"/>
  </cols>
  <sheetData>
    <row r="1" spans="1:36" x14ac:dyDescent="0.2">
      <c r="A1" s="199" t="s">
        <v>124</v>
      </c>
      <c r="B1" s="200" t="s">
        <v>172</v>
      </c>
      <c r="C1" s="201" t="s">
        <v>173</v>
      </c>
      <c r="D1" s="202" t="s">
        <v>174</v>
      </c>
      <c r="E1" s="197">
        <v>45870</v>
      </c>
      <c r="F1" s="197">
        <v>45871</v>
      </c>
      <c r="G1" s="197">
        <v>45872</v>
      </c>
      <c r="H1" s="197">
        <v>45873</v>
      </c>
      <c r="I1" s="197">
        <v>45874</v>
      </c>
      <c r="J1" s="197">
        <v>45875</v>
      </c>
      <c r="K1" s="197">
        <v>45876</v>
      </c>
      <c r="L1" s="197">
        <v>45877</v>
      </c>
      <c r="M1" s="197">
        <v>45878</v>
      </c>
      <c r="N1" s="197">
        <v>45879</v>
      </c>
      <c r="O1" s="197">
        <v>45880</v>
      </c>
      <c r="P1" s="197">
        <v>45881</v>
      </c>
      <c r="Q1" s="197">
        <v>45882</v>
      </c>
      <c r="R1" s="197">
        <v>45883</v>
      </c>
      <c r="S1" s="197">
        <v>45884</v>
      </c>
      <c r="T1" s="197">
        <v>45885</v>
      </c>
      <c r="U1" s="197">
        <v>45886</v>
      </c>
      <c r="V1" s="197">
        <v>45887</v>
      </c>
      <c r="W1" s="197">
        <v>45888</v>
      </c>
      <c r="X1" s="197">
        <v>45889</v>
      </c>
      <c r="Y1" s="197">
        <v>45890</v>
      </c>
      <c r="Z1" s="197">
        <v>45891</v>
      </c>
      <c r="AA1" s="197">
        <v>45892</v>
      </c>
      <c r="AB1" s="197">
        <v>45893</v>
      </c>
      <c r="AC1" s="197">
        <v>45894</v>
      </c>
      <c r="AD1" s="197">
        <v>45895</v>
      </c>
      <c r="AE1" s="197">
        <v>45896</v>
      </c>
      <c r="AF1" s="197">
        <v>45897</v>
      </c>
      <c r="AG1" s="197">
        <v>45898</v>
      </c>
      <c r="AH1" s="197">
        <v>45899</v>
      </c>
      <c r="AI1" s="197">
        <v>45900</v>
      </c>
      <c r="AJ1" s="203" t="s">
        <v>218</v>
      </c>
    </row>
    <row r="2" spans="1:36" ht="17.25" customHeight="1" x14ac:dyDescent="0.2">
      <c r="A2" s="204" t="s">
        <v>158</v>
      </c>
      <c r="B2" s="205">
        <f>'Jul2025'!B2+1.25- (COUNTIF(E2:AI2, "VL") * 1) - (COUNTIF(E2:AI2, "HDL") * 0.5)</f>
        <v>8</v>
      </c>
      <c r="C2" s="206">
        <f>'Jul2025'!C2-COUNTIF(E2:AI2, "SL")-(COUNTIF(E2:AI2, "HDSL") * 0.5)</f>
        <v>0</v>
      </c>
      <c r="D2" s="207">
        <f>'Jun2025 '!D2-COUNTIF(E2:AI2, "SPL")</f>
        <v>0</v>
      </c>
      <c r="E2" s="208"/>
      <c r="F2" s="208" t="s">
        <v>173</v>
      </c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20"/>
      <c r="AI2" s="219"/>
      <c r="AJ2" s="203">
        <f>COUNTIF(E2:AI2,"SL")</f>
        <v>1</v>
      </c>
    </row>
    <row r="3" spans="1:36" ht="17.25" customHeight="1" x14ac:dyDescent="0.2">
      <c r="A3" s="204" t="s">
        <v>160</v>
      </c>
      <c r="B3" s="205">
        <f>'Jul2025'!B3+1.25- (COUNTIF(E3:AI3, "VL") * 1) - (COUNTIF(E3:AI3, "HDL") * 0.5)</f>
        <v>14</v>
      </c>
      <c r="C3" s="206">
        <f>'Jul2025'!C3-COUNTIF(E3:AI3, "SL")-(COUNTIF(E3:AI3, "HDSL") * 0.5)</f>
        <v>1</v>
      </c>
      <c r="D3" s="207">
        <f>'Jun2025 '!D3-COUNTIF(E3:AI3, "SPL")</f>
        <v>0</v>
      </c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16"/>
      <c r="AE3" s="208"/>
      <c r="AF3" s="208"/>
      <c r="AG3" s="208"/>
      <c r="AH3" s="220"/>
      <c r="AI3" s="219"/>
      <c r="AJ3" s="203">
        <f t="shared" ref="AJ3:AJ63" si="0">COUNTIF(E3:AI3,"SL")</f>
        <v>0</v>
      </c>
    </row>
    <row r="4" spans="1:36" ht="17.25" customHeight="1" x14ac:dyDescent="0.2">
      <c r="A4" s="204" t="s">
        <v>149</v>
      </c>
      <c r="B4" s="205">
        <f>'Jul2025'!B4+1.25- (COUNTIF(E4:AI4, "VL") * 1) - (COUNTIF(E4:AI4, "HDL") * 0.5)</f>
        <v>12.75</v>
      </c>
      <c r="C4" s="206">
        <f>'Jul2025'!C4-COUNTIF(E4:AI4, "SL")-(COUNTIF(E4:AI4, "HDSL") * 0.5)</f>
        <v>0</v>
      </c>
      <c r="D4" s="207">
        <f>'Jun2025 '!D4-COUNTIF(E4:AI4, "SPL")</f>
        <v>0</v>
      </c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  <c r="AC4" s="220"/>
      <c r="AD4" s="208"/>
      <c r="AE4" s="230"/>
      <c r="AF4" s="208"/>
      <c r="AG4" s="208"/>
      <c r="AH4" s="220"/>
      <c r="AI4" s="219"/>
      <c r="AJ4" s="203">
        <f t="shared" si="0"/>
        <v>0</v>
      </c>
    </row>
    <row r="5" spans="1:36" ht="17.25" customHeight="1" x14ac:dyDescent="0.2">
      <c r="A5" s="204" t="s">
        <v>142</v>
      </c>
      <c r="B5" s="205">
        <f>'Jul2025'!B5+1.25- (COUNTIF(E5:AI5, "VL") * 1) - (COUNTIF(E5:AI5, "HDL") * 0.5)</f>
        <v>8.5</v>
      </c>
      <c r="C5" s="206">
        <f>'Jul2025'!C5-COUNTIF(E5:AI5, "SL")-(COUNTIF(E5:AI5, "HDSL") * 0.5)</f>
        <v>0.5</v>
      </c>
      <c r="D5" s="207">
        <f>'Jun2025 '!D5-COUNTIF(E5:AI5, "SPL")</f>
        <v>0</v>
      </c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18"/>
      <c r="Y5" s="218"/>
      <c r="Z5" s="218"/>
      <c r="AA5" s="208"/>
      <c r="AB5" s="208"/>
      <c r="AC5" s="220"/>
      <c r="AD5" s="211"/>
      <c r="AE5" s="230"/>
      <c r="AF5" s="208"/>
      <c r="AG5" s="208"/>
      <c r="AH5" s="220"/>
      <c r="AI5" s="219"/>
      <c r="AJ5" s="203">
        <f t="shared" si="0"/>
        <v>0</v>
      </c>
    </row>
    <row r="6" spans="1:36" ht="17.25" customHeight="1" x14ac:dyDescent="0.2">
      <c r="A6" s="215" t="s">
        <v>356</v>
      </c>
      <c r="B6" s="205">
        <f>MIN(7.5,15)- (COUNTIF(E6:AI6, "VL") * 1) - (COUNTIF(E6:AI6, "HDL") * 0.5)</f>
        <v>6.5</v>
      </c>
      <c r="C6" s="206">
        <f>MIN(2.5, 5)-COUNTIF(E6:AI6, "SL")-(COUNTIF(E6:AI6, "HDSL") * 0.5)</f>
        <v>2.5</v>
      </c>
      <c r="D6" s="207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18" t="s">
        <v>172</v>
      </c>
      <c r="Y6" s="218"/>
      <c r="Z6" s="218"/>
      <c r="AA6" s="208"/>
      <c r="AB6" s="208"/>
      <c r="AC6" s="220"/>
      <c r="AD6" s="211"/>
      <c r="AE6" s="230"/>
      <c r="AF6" s="208"/>
      <c r="AG6" s="208"/>
      <c r="AH6" s="220"/>
      <c r="AI6" s="219"/>
      <c r="AJ6" s="203">
        <f t="shared" si="0"/>
        <v>0</v>
      </c>
    </row>
    <row r="7" spans="1:36" ht="17.25" customHeight="1" x14ac:dyDescent="0.2">
      <c r="A7" s="204" t="s">
        <v>176</v>
      </c>
      <c r="B7" s="205">
        <f>'Jul2025'!B6+1.25- (COUNTIF(E7:AI7, "VL") * 1) - (COUNTIF(E7:AI7, "HDL") * 0.5)</f>
        <v>9</v>
      </c>
      <c r="C7" s="206">
        <f>'Jul2025'!C6-COUNTIF(E7:AI7, "SL")-(COUNTIF(E7:AI7, "HDSL") * 0.5)</f>
        <v>3</v>
      </c>
      <c r="D7" s="207">
        <f>'Jun2025 '!D6-COUNTIF(E7:AI7, "SPL")</f>
        <v>0</v>
      </c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 t="s">
        <v>173</v>
      </c>
      <c r="X7" s="229"/>
      <c r="Y7" s="229"/>
      <c r="Z7" s="229"/>
      <c r="AA7" s="198"/>
      <c r="AB7" s="198"/>
      <c r="AC7" s="221"/>
      <c r="AD7" s="198"/>
      <c r="AE7" s="231"/>
      <c r="AF7" s="198"/>
      <c r="AG7" s="198"/>
      <c r="AH7" s="221"/>
      <c r="AI7" s="219"/>
      <c r="AJ7" s="203">
        <f t="shared" si="0"/>
        <v>1</v>
      </c>
    </row>
    <row r="8" spans="1:36" ht="17.25" customHeight="1" x14ac:dyDescent="0.2">
      <c r="A8" s="209" t="s">
        <v>177</v>
      </c>
      <c r="B8" s="205">
        <f>'Jul2025'!B7+1.25- (COUNTIF(E8:AI8, "VL") * 1) - (COUNTIF(E8:AI8, "HDL") * 0.5)</f>
        <v>2.75</v>
      </c>
      <c r="C8" s="206">
        <f>'Jul2025'!C7-COUNTIF(E8:AI8, "SL")-(COUNTIF(E8:AI8, "HDSL") * 0.5)</f>
        <v>0</v>
      </c>
      <c r="D8" s="207">
        <f>'Jun2025 '!D7-COUNTIF(E8:AI8, "SPL")</f>
        <v>0</v>
      </c>
      <c r="E8" s="198"/>
      <c r="F8" s="198" t="s">
        <v>172</v>
      </c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229" t="s">
        <v>173</v>
      </c>
      <c r="Y8" s="229"/>
      <c r="Z8" s="229"/>
      <c r="AA8" s="198"/>
      <c r="AB8" s="198"/>
      <c r="AC8" s="221"/>
      <c r="AD8" s="198"/>
      <c r="AE8" s="231"/>
      <c r="AF8" s="198"/>
      <c r="AG8" s="198"/>
      <c r="AH8" s="221"/>
      <c r="AI8" s="219"/>
      <c r="AJ8" s="203">
        <f t="shared" si="0"/>
        <v>1</v>
      </c>
    </row>
    <row r="9" spans="1:36" ht="17.25" customHeight="1" x14ac:dyDescent="0.2">
      <c r="A9" s="209" t="s">
        <v>178</v>
      </c>
      <c r="B9" s="205">
        <f>'Jul2025'!B8+1.25- (COUNTIF(E9:AI9, "VL") * 1) - (COUNTIF(E9:AI9, "HDL") * 0.5)</f>
        <v>3.5</v>
      </c>
      <c r="C9" s="206">
        <f>'Jul2025'!C8-COUNTIF(E9:AI9, "SL")-(COUNTIF(E9:AI9, "HDSL") * 0.5)</f>
        <v>4</v>
      </c>
      <c r="D9" s="207">
        <f>'Jun2025 '!D8-COUNTIF(E9:AI9, "SPL")</f>
        <v>0</v>
      </c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18"/>
      <c r="Y9" s="218"/>
      <c r="Z9" s="218"/>
      <c r="AA9" s="208"/>
      <c r="AB9" s="208"/>
      <c r="AC9" s="220"/>
      <c r="AD9" s="208"/>
      <c r="AE9" s="230"/>
      <c r="AF9" s="208"/>
      <c r="AG9" s="208"/>
      <c r="AH9" s="220"/>
      <c r="AI9" s="219"/>
      <c r="AJ9" s="203">
        <f t="shared" si="0"/>
        <v>0</v>
      </c>
    </row>
    <row r="10" spans="1:36" ht="17.25" customHeight="1" x14ac:dyDescent="0.2">
      <c r="A10" s="209" t="s">
        <v>332</v>
      </c>
      <c r="B10" s="205">
        <f>'Jul2025'!B9+1.25- (COUNTIF(E10:AI10, "VL") * 1) - (COUNTIF(E10:AI10, "HDL") * 0.5)</f>
        <v>1.5</v>
      </c>
      <c r="C10" s="206">
        <f>'Jul2025'!C9-COUNTIF(E10:AI10, "SL")-(COUNTIF(E10:AI10, "HDSL") * 0.5)</f>
        <v>1.9166666666666621</v>
      </c>
      <c r="D10" s="207">
        <f>'Jun2025 '!D9-COUNTIF(E10:AI10, "SPL")</f>
        <v>0</v>
      </c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18"/>
      <c r="Y10" s="218"/>
      <c r="Z10" s="218"/>
      <c r="AA10" s="208"/>
      <c r="AB10" s="208"/>
      <c r="AC10" s="208"/>
      <c r="AD10" s="232"/>
      <c r="AE10" s="208"/>
      <c r="AF10" s="208"/>
      <c r="AG10" s="208"/>
      <c r="AH10" s="220"/>
      <c r="AI10" s="219"/>
      <c r="AJ10" s="203">
        <f t="shared" si="0"/>
        <v>0</v>
      </c>
    </row>
    <row r="11" spans="1:36" ht="17.25" customHeight="1" x14ac:dyDescent="0.2">
      <c r="A11" s="209" t="s">
        <v>162</v>
      </c>
      <c r="B11" s="205">
        <f>'Jul2025'!B10+1.25- (COUNTIF(E11:AI11, "VL") * 1) - (COUNTIF(E11:AI11, "HDL") * 0.5)</f>
        <v>12.25</v>
      </c>
      <c r="C11" s="206">
        <f>'Jul2025'!C10-COUNTIF(E11:AI11, "SL")-(COUNTIF(E11:AI11, "HDSL") * 0.5)</f>
        <v>5</v>
      </c>
      <c r="D11" s="207">
        <f>'Jun2025 '!D10-COUNTIF(E11:AI11, "SPL")</f>
        <v>0</v>
      </c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 t="s">
        <v>172</v>
      </c>
      <c r="Q11" s="208"/>
      <c r="R11" s="208"/>
      <c r="S11" s="208"/>
      <c r="T11" s="208"/>
      <c r="U11" s="208"/>
      <c r="V11" s="208"/>
      <c r="W11" s="208"/>
      <c r="X11" s="218"/>
      <c r="Y11" s="218"/>
      <c r="Z11" s="218"/>
      <c r="AA11" s="208"/>
      <c r="AB11" s="208"/>
      <c r="AC11" s="208"/>
      <c r="AD11" s="208"/>
      <c r="AE11" s="208"/>
      <c r="AF11" s="208"/>
      <c r="AG11" s="208"/>
      <c r="AH11" s="220"/>
      <c r="AI11" s="219"/>
      <c r="AJ11" s="203">
        <f t="shared" si="0"/>
        <v>0</v>
      </c>
    </row>
    <row r="12" spans="1:36" ht="17.25" customHeight="1" x14ac:dyDescent="0.2">
      <c r="A12" s="209" t="s">
        <v>347</v>
      </c>
      <c r="B12" s="205">
        <f>'Jul2025'!B11+1.25- (COUNTIF(E12:AI12, "VL") * 1) - (COUNTIF(E12:AI12, "HDL") * 0.5)</f>
        <v>12.5</v>
      </c>
      <c r="C12" s="206">
        <f>'Jul2025'!C11+0.416666666666666-COUNTIF(E12:AI12, "SL")-(COUNTIF(E12:AI12, "HDSL") * 0.5)</f>
        <v>3.1666666666666603</v>
      </c>
      <c r="D12" s="207">
        <f>'Jun2025 '!D11-COUNTIF(E12:AI12, "SPL")</f>
        <v>0</v>
      </c>
      <c r="E12" s="208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18"/>
      <c r="Y12" s="218"/>
      <c r="Z12" s="218"/>
      <c r="AA12" s="208"/>
      <c r="AB12" s="208"/>
      <c r="AC12" s="208"/>
      <c r="AD12" s="208"/>
      <c r="AE12" s="208"/>
      <c r="AF12" s="208"/>
      <c r="AG12" s="208"/>
      <c r="AH12" s="220"/>
      <c r="AI12" s="219"/>
      <c r="AJ12" s="203">
        <f t="shared" si="0"/>
        <v>0</v>
      </c>
    </row>
    <row r="13" spans="1:36" ht="17.25" customHeight="1" x14ac:dyDescent="0.2">
      <c r="A13" s="209" t="s">
        <v>179</v>
      </c>
      <c r="B13" s="205">
        <f>'Jul2025'!B12+1.25- (COUNTIF(E13:AI13, "VL") * 1) - (COUNTIF(E13:AI13, "HDL") * 0.5)</f>
        <v>6.5</v>
      </c>
      <c r="C13" s="206">
        <f>'Jul2025'!C12-COUNTIF(E13:AI13, "SL")-(COUNTIF(E13:AI13, "HDSL") * 0.5)</f>
        <v>3</v>
      </c>
      <c r="D13" s="207">
        <f>'Jun2025 '!D12-COUNTIF(E13:AI13, "SPL")</f>
        <v>0</v>
      </c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229"/>
      <c r="Y13" s="229"/>
      <c r="Z13" s="229"/>
      <c r="AA13" s="198"/>
      <c r="AB13" s="198"/>
      <c r="AC13" s="198"/>
      <c r="AD13" s="198" t="s">
        <v>173</v>
      </c>
      <c r="AE13" s="198"/>
      <c r="AF13" s="198"/>
      <c r="AG13" s="198"/>
      <c r="AH13" s="221"/>
      <c r="AI13" s="219"/>
      <c r="AJ13" s="203">
        <f t="shared" si="0"/>
        <v>1</v>
      </c>
    </row>
    <row r="14" spans="1:36" ht="17.25" customHeight="1" x14ac:dyDescent="0.2">
      <c r="A14" s="209" t="s">
        <v>348</v>
      </c>
      <c r="B14" s="205">
        <f>'Jul2025'!B13+1.25- (COUNTIF(E14:AI14, "VL") * 1) - (COUNTIF(E14:AI14, "HDL") * 0.5)</f>
        <v>8.25</v>
      </c>
      <c r="C14" s="206">
        <f>'Jul2025'!C13+0.416-COUNTIF(E14:AI14, "SL")-(COUNTIF(E14:AI14, "HDSL") * 0.5)</f>
        <v>2.7479999999999958</v>
      </c>
      <c r="D14" s="207">
        <f>'Jun2025 '!D13-COUNTIF(E14:AI14, "SPL")</f>
        <v>0</v>
      </c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 t="s">
        <v>172</v>
      </c>
      <c r="T14" s="198"/>
      <c r="U14" s="198"/>
      <c r="V14" s="198"/>
      <c r="W14" s="198" t="s">
        <v>172</v>
      </c>
      <c r="X14" s="229" t="s">
        <v>172</v>
      </c>
      <c r="Y14" s="229"/>
      <c r="Z14" s="229"/>
      <c r="AA14" s="198"/>
      <c r="AB14" s="198"/>
      <c r="AC14" s="198"/>
      <c r="AD14" s="198"/>
      <c r="AE14" s="198"/>
      <c r="AF14" s="198"/>
      <c r="AG14" s="198"/>
      <c r="AH14" s="221"/>
      <c r="AI14" s="219"/>
      <c r="AJ14" s="203">
        <f t="shared" si="0"/>
        <v>0</v>
      </c>
    </row>
    <row r="15" spans="1:36" ht="17.25" customHeight="1" x14ac:dyDescent="0.2">
      <c r="A15" s="209" t="s">
        <v>151</v>
      </c>
      <c r="B15" s="205">
        <f>'Jul2025'!B14+1.25- (COUNTIF(E15:AI15, "VL") * 1) - (COUNTIF(E15:AI15, "HDL") * 0.5)</f>
        <v>15.25</v>
      </c>
      <c r="C15" s="206">
        <f>'Jul2025'!C14-COUNTIF(E15:AI15, "SL")-(COUNTIF(E15:AI15, "HDSL") * 0.5)</f>
        <v>0.5</v>
      </c>
      <c r="D15" s="207">
        <f>'Jun2025 '!D14-COUNTIF(E15:AI15, "SPL")</f>
        <v>0</v>
      </c>
      <c r="E15" s="208"/>
      <c r="F15" s="208"/>
      <c r="G15" s="210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18"/>
      <c r="Y15" s="218"/>
      <c r="Z15" s="218"/>
      <c r="AA15" s="208"/>
      <c r="AB15" s="208"/>
      <c r="AC15" s="208"/>
      <c r="AD15" s="208"/>
      <c r="AE15" s="208"/>
      <c r="AF15" s="208"/>
      <c r="AG15" s="208"/>
      <c r="AH15" s="220"/>
      <c r="AI15" s="219"/>
      <c r="AJ15" s="203">
        <f t="shared" si="0"/>
        <v>0</v>
      </c>
    </row>
    <row r="16" spans="1:36" ht="17.25" customHeight="1" x14ac:dyDescent="0.2">
      <c r="A16" s="228" t="s">
        <v>180</v>
      </c>
      <c r="B16" s="205">
        <f>'Jul2025'!B15+1.25- (COUNTIF(E16:AI16, "VL") * 1) - (COUNTIF(E16:AI16, "HDL") * 0.5)</f>
        <v>11.5</v>
      </c>
      <c r="C16" s="206">
        <f>'May2025 '!C15-COUNTIF(E16:AI16, "SL")-(COUNTIF(E16:AI16, "HDSL") * 0.5)</f>
        <v>5</v>
      </c>
      <c r="D16" s="207">
        <f>'Jun2025 '!D15-COUNTIF(E16:AI16, "SPL")</f>
        <v>0</v>
      </c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18"/>
      <c r="Y16" s="218"/>
      <c r="Z16" s="218"/>
      <c r="AA16" s="208"/>
      <c r="AB16" s="208"/>
      <c r="AC16" s="208"/>
      <c r="AD16" s="208"/>
      <c r="AE16" s="208"/>
      <c r="AF16" s="208"/>
      <c r="AG16" s="208"/>
      <c r="AH16" s="220"/>
      <c r="AI16" s="219"/>
      <c r="AJ16" s="203">
        <f t="shared" si="0"/>
        <v>0</v>
      </c>
    </row>
    <row r="17" spans="1:36" ht="17.25" customHeight="1" x14ac:dyDescent="0.2">
      <c r="A17" s="209" t="s">
        <v>181</v>
      </c>
      <c r="B17" s="205">
        <f>'Jul2025'!B16+1.25- (COUNTIF(E17:AI17, "VL") * 1) - (COUNTIF(E17:AI17, "HDL") * 0.5)</f>
        <v>6.5</v>
      </c>
      <c r="C17" s="206">
        <f>'Jul2025'!C16-COUNTIF(E17:AI17, "SL")-(COUNTIF(E17:AI17, "HDSL") * 0.5)</f>
        <v>0</v>
      </c>
      <c r="D17" s="207">
        <f>'Jun2025 '!D16-COUNTIF(E17:AI17, "SPL")</f>
        <v>0</v>
      </c>
      <c r="E17" s="208"/>
      <c r="F17" s="208"/>
      <c r="G17" s="208" t="s">
        <v>172</v>
      </c>
      <c r="H17" s="208"/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18"/>
      <c r="Y17" s="218"/>
      <c r="Z17" s="218"/>
      <c r="AA17" s="208"/>
      <c r="AB17" s="208"/>
      <c r="AC17" s="208"/>
      <c r="AD17" s="208"/>
      <c r="AE17" s="208"/>
      <c r="AF17" s="208"/>
      <c r="AG17" s="208"/>
      <c r="AH17" s="220"/>
      <c r="AI17" s="219"/>
      <c r="AJ17" s="203">
        <f t="shared" si="0"/>
        <v>0</v>
      </c>
    </row>
    <row r="18" spans="1:36" ht="17.25" customHeight="1" x14ac:dyDescent="0.2">
      <c r="A18" s="209" t="s">
        <v>221</v>
      </c>
      <c r="B18" s="205">
        <f>'Jul2025'!B17+1.25- (COUNTIF(E18:AI18, "VL") * 1) - (COUNTIF(E18:AI18, "HDL") * 0.5)</f>
        <v>8.5</v>
      </c>
      <c r="C18" s="206">
        <f>'Jul2025'!C17+0.416666666666666-COUNTIF(E18:AI18, "SL")-(COUNTIF(E18:AI18, "HDSL") * 0.5)</f>
        <v>1.9953333333333303</v>
      </c>
      <c r="D18" s="207">
        <f>'Jun2025 '!D17-COUNTIF(E18:AI18, "SPL")</f>
        <v>0</v>
      </c>
      <c r="E18" s="208"/>
      <c r="F18" s="208"/>
      <c r="G18" s="208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18"/>
      <c r="Y18" s="218" t="s">
        <v>172</v>
      </c>
      <c r="Z18" s="218" t="s">
        <v>172</v>
      </c>
      <c r="AA18" s="208"/>
      <c r="AB18" s="208"/>
      <c r="AC18" s="208" t="s">
        <v>172</v>
      </c>
      <c r="AD18" s="208"/>
      <c r="AE18" s="208"/>
      <c r="AF18" s="208"/>
      <c r="AG18" s="211"/>
      <c r="AH18" s="222"/>
      <c r="AI18" s="219"/>
      <c r="AJ18" s="203">
        <f t="shared" si="0"/>
        <v>0</v>
      </c>
    </row>
    <row r="19" spans="1:36" ht="17.25" customHeight="1" x14ac:dyDescent="0.2">
      <c r="A19" s="209" t="s">
        <v>152</v>
      </c>
      <c r="B19" s="205">
        <f>'Jul2025'!B18+1.25- (COUNTIF(E19:AI19, "VL") * 1) - (COUNTIF(E19:AI19, "HDL") * 0.5)</f>
        <v>10.125</v>
      </c>
      <c r="C19" s="206">
        <f>'Jul2025'!C18-COUNTIF(E19:AI19, "SL")-(COUNTIF(E19:AI19, "HDSL") * 0.5)</f>
        <v>2</v>
      </c>
      <c r="D19" s="207">
        <f>'Jun2025 '!D18-COUNTIF(E19:AI19, "SPL")</f>
        <v>0</v>
      </c>
      <c r="E19" s="208"/>
      <c r="F19" s="208"/>
      <c r="G19" s="208"/>
      <c r="H19" s="208"/>
      <c r="I19" s="208"/>
      <c r="J19" s="208"/>
      <c r="K19" s="208"/>
      <c r="L19" s="208" t="s">
        <v>172</v>
      </c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18"/>
      <c r="Y19" s="218"/>
      <c r="Z19" s="218"/>
      <c r="AA19" s="208"/>
      <c r="AB19" s="208"/>
      <c r="AC19" s="208"/>
      <c r="AD19" s="208"/>
      <c r="AE19" s="208"/>
      <c r="AF19" s="208"/>
      <c r="AG19" s="208" t="s">
        <v>172</v>
      </c>
      <c r="AH19" s="220"/>
      <c r="AI19" s="219"/>
      <c r="AJ19" s="203">
        <f t="shared" si="0"/>
        <v>0</v>
      </c>
    </row>
    <row r="20" spans="1:36" ht="17.25" customHeight="1" x14ac:dyDescent="0.2">
      <c r="A20" s="209" t="s">
        <v>170</v>
      </c>
      <c r="B20" s="205">
        <f>'Jul2025'!B19+1.25- (COUNTIF(E20:AI20, "VL") * 1) - (COUNTIF(E20:AI20, "HDL") * 0.5)</f>
        <v>6</v>
      </c>
      <c r="C20" s="206">
        <f>'Jul2025'!C19-COUNTIF(E20:AI20, "SL")-(COUNTIF(E20:AI20, "HDSL") * 0.5)</f>
        <v>0</v>
      </c>
      <c r="D20" s="207">
        <f>'Jun2025 '!D19-COUNTIF(E20:AI20, "SPL")</f>
        <v>0</v>
      </c>
      <c r="E20" s="208" t="s">
        <v>182</v>
      </c>
      <c r="F20" s="208"/>
      <c r="G20" s="208"/>
      <c r="H20" s="208"/>
      <c r="I20" s="208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18"/>
      <c r="Y20" s="218"/>
      <c r="Z20" s="218"/>
      <c r="AA20" s="208"/>
      <c r="AB20" s="208"/>
      <c r="AC20" s="208"/>
      <c r="AD20" s="208"/>
      <c r="AE20" s="208"/>
      <c r="AF20" s="208"/>
      <c r="AG20" s="208"/>
      <c r="AH20" s="220"/>
      <c r="AI20" s="219"/>
      <c r="AJ20" s="203">
        <f t="shared" si="0"/>
        <v>0</v>
      </c>
    </row>
    <row r="21" spans="1:36" ht="17.25" customHeight="1" x14ac:dyDescent="0.2">
      <c r="A21" s="212" t="s">
        <v>334</v>
      </c>
      <c r="B21" s="205">
        <f>'Jul2025'!B20+1.25- (COUNTIF(E21:AI21, "VL") * 1) - (COUNTIF(E21:AI21, "HDL") * 0.5)</f>
        <v>10.5</v>
      </c>
      <c r="C21" s="206">
        <f>'Jul2025'!C20+0.416666666666666-COUNTIF(E21:AI21, "SL")-(COUNTIF(E21:AI21, "HDSL") * 0.5)</f>
        <v>1.1666666666666603</v>
      </c>
      <c r="D21" s="207">
        <f>'Jun2025 '!D20-COUNTIF(E21:AI21, "SPL")</f>
        <v>0</v>
      </c>
      <c r="E21" s="208"/>
      <c r="F21" s="208"/>
      <c r="G21" s="208"/>
      <c r="H21" s="208"/>
      <c r="I21" s="208"/>
      <c r="J21" s="208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 t="s">
        <v>172</v>
      </c>
      <c r="W21" s="208"/>
      <c r="X21" s="218" t="s">
        <v>173</v>
      </c>
      <c r="Y21" s="218" t="s">
        <v>173</v>
      </c>
      <c r="Z21" s="218"/>
      <c r="AA21" s="208"/>
      <c r="AB21" s="208"/>
      <c r="AC21" s="208"/>
      <c r="AD21" s="208"/>
      <c r="AE21" s="208"/>
      <c r="AF21" s="208"/>
      <c r="AG21" s="208"/>
      <c r="AH21" s="220"/>
      <c r="AI21" s="219"/>
      <c r="AJ21" s="203">
        <f t="shared" si="0"/>
        <v>2</v>
      </c>
    </row>
    <row r="22" spans="1:36" ht="17.25" customHeight="1" x14ac:dyDescent="0.2">
      <c r="A22" s="209" t="s">
        <v>145</v>
      </c>
      <c r="B22" s="205">
        <f>'Jul2025'!B21+1.25- (COUNTIF(E22:AI22, "VL") * 1) - (COUNTIF(E22:AI22, "HDL") * 0.5)</f>
        <v>5.75</v>
      </c>
      <c r="C22" s="206">
        <f>'Jul2025'!C21-COUNTIF(E22:AI22, "SL")-(COUNTIF(E22:AI22, "HDSL") * 0.5)</f>
        <v>1</v>
      </c>
      <c r="D22" s="207">
        <f>'Jun2025 '!D21-COUNTIF(E22:AI22, "SPL")</f>
        <v>0</v>
      </c>
      <c r="E22" s="208"/>
      <c r="F22" s="208"/>
      <c r="G22" s="208"/>
      <c r="H22" s="208"/>
      <c r="I22" s="208"/>
      <c r="J22" s="208"/>
      <c r="K22" s="208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18"/>
      <c r="Y22" s="218"/>
      <c r="Z22" s="218"/>
      <c r="AA22" s="208"/>
      <c r="AB22" s="208"/>
      <c r="AC22" s="208"/>
      <c r="AD22" s="208"/>
      <c r="AE22" s="208"/>
      <c r="AF22" s="208"/>
      <c r="AG22" s="208"/>
      <c r="AH22" s="220"/>
      <c r="AI22" s="219"/>
      <c r="AJ22" s="203">
        <f t="shared" si="0"/>
        <v>0</v>
      </c>
    </row>
    <row r="23" spans="1:36" ht="17.25" customHeight="1" x14ac:dyDescent="0.2">
      <c r="A23" s="215" t="s">
        <v>357</v>
      </c>
      <c r="B23" s="205">
        <f>MIN(7.5,15)- (COUNTIF(E23:AI23, "VL") * 1) - (COUNTIF(E23:AI23, "HDL") * 0.5)</f>
        <v>6.5</v>
      </c>
      <c r="C23" s="206">
        <f>MIN(2.5)-COUNTIF(E23:AI23, "SL")-(COUNTIF(E23:AI23, "HDSL") * 0.5)</f>
        <v>2.5</v>
      </c>
      <c r="D23" s="207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18"/>
      <c r="Y23" s="218" t="s">
        <v>172</v>
      </c>
      <c r="Z23" s="218"/>
      <c r="AA23" s="208"/>
      <c r="AB23" s="208"/>
      <c r="AC23" s="208"/>
      <c r="AD23" s="208"/>
      <c r="AE23" s="208"/>
      <c r="AF23" s="208"/>
      <c r="AG23" s="208"/>
      <c r="AH23" s="220"/>
      <c r="AI23" s="219"/>
      <c r="AJ23" s="203">
        <f t="shared" si="0"/>
        <v>0</v>
      </c>
    </row>
    <row r="24" spans="1:36" ht="17.25" customHeight="1" x14ac:dyDescent="0.2">
      <c r="A24" s="209" t="s">
        <v>349</v>
      </c>
      <c r="B24" s="205">
        <f>'Jul2025'!B22+1.25- (COUNTIF(E24:AI24, "VL") * 1) - (COUNTIF(E24:AI24, "HDL") * 0.5)</f>
        <v>10.25</v>
      </c>
      <c r="C24" s="206">
        <f>'Jul2025'!C22+0.416-COUNTIF(E24:AI24, "SL")-(COUNTIF(E24:AI24, "HDSL") * 0.5)</f>
        <v>2.7479999999999958</v>
      </c>
      <c r="D24" s="207">
        <f>'Jun2025 '!D22-COUNTIF(E24:AI24, "SPL")</f>
        <v>0</v>
      </c>
      <c r="E24" s="208"/>
      <c r="F24" s="208"/>
      <c r="G24" s="208" t="s">
        <v>172</v>
      </c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20"/>
      <c r="AI24" s="219"/>
      <c r="AJ24" s="203">
        <f t="shared" si="0"/>
        <v>0</v>
      </c>
    </row>
    <row r="25" spans="1:36" ht="17.25" customHeight="1" x14ac:dyDescent="0.2">
      <c r="A25" s="209" t="s">
        <v>150</v>
      </c>
      <c r="B25" s="205">
        <f>'Jul2025'!B23+1.25- (COUNTIF(E25:AI25, "VL") * 1) - (COUNTIF(E25:AI25, "HDL") * 0.5)</f>
        <v>5.25</v>
      </c>
      <c r="C25" s="206">
        <f>'Jul2025'!C23-COUNTIF(E25:AI25, "SL")-(COUNTIF(E25:AI25, "HDSL") * 0.5)</f>
        <v>0</v>
      </c>
      <c r="D25" s="207">
        <f>'Jun2025 '!D23-COUNTIF(E25:AI25, "SPL")</f>
        <v>0</v>
      </c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19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20"/>
      <c r="AI25" s="219"/>
      <c r="AJ25" s="203">
        <f t="shared" si="0"/>
        <v>0</v>
      </c>
    </row>
    <row r="26" spans="1:36" ht="17.25" customHeight="1" x14ac:dyDescent="0.2">
      <c r="A26" s="215" t="s">
        <v>147</v>
      </c>
      <c r="B26" s="205">
        <f>'Jul2025'!B24+1.25- (COUNTIF(E26:AI26, "VL") * 1) - (COUNTIF(E26:AI26, "HDL") * 0.5)</f>
        <v>3</v>
      </c>
      <c r="C26" s="206">
        <f>'Jul2025'!C24-COUNTIF(E26:AI26, "SL")-(COUNTIF(E26:AI26, "HDSL") * 0.5)</f>
        <v>0</v>
      </c>
      <c r="D26" s="207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19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20"/>
      <c r="AI26" s="219"/>
      <c r="AJ26" s="203">
        <f t="shared" si="0"/>
        <v>0</v>
      </c>
    </row>
    <row r="27" spans="1:36" ht="17.25" customHeight="1" x14ac:dyDescent="0.2">
      <c r="A27" s="209" t="s">
        <v>168</v>
      </c>
      <c r="B27" s="205">
        <f>'Jul2025'!B25+1.25- (COUNTIF(E27:AI27, "VL") * 1) - (COUNTIF(E27:AI27, "HDL") * 0.5)</f>
        <v>1</v>
      </c>
      <c r="C27" s="206">
        <f>'Jul2025'!C25-COUNTIF(E27:AI27, "SL")-(COUNTIF(E27:AI27, "HDSL") * 0.5)</f>
        <v>0</v>
      </c>
      <c r="D27" s="207">
        <f>'Jun2025 '!D25-COUNTIF(E27:AI27, "SPL")</f>
        <v>0</v>
      </c>
      <c r="E27" s="208"/>
      <c r="F27" s="208" t="s">
        <v>172</v>
      </c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 t="s">
        <v>172</v>
      </c>
      <c r="U27" s="208"/>
      <c r="V27" s="208"/>
      <c r="W27" s="208"/>
      <c r="X27" s="208"/>
      <c r="Y27" s="208"/>
      <c r="Z27" s="208"/>
      <c r="AA27" s="208" t="s">
        <v>175</v>
      </c>
      <c r="AB27" s="208"/>
      <c r="AC27" s="208"/>
      <c r="AD27" s="208"/>
      <c r="AE27" s="208"/>
      <c r="AF27" s="208"/>
      <c r="AG27" s="208"/>
      <c r="AH27" s="220"/>
      <c r="AI27" s="219"/>
      <c r="AJ27" s="203">
        <f t="shared" si="0"/>
        <v>0</v>
      </c>
    </row>
    <row r="28" spans="1:36" ht="17.25" customHeight="1" x14ac:dyDescent="0.2">
      <c r="A28" s="209" t="s">
        <v>156</v>
      </c>
      <c r="B28" s="205">
        <f>'Jul2025'!B26+1.25- (COUNTIF(E28:AI28, "VL") * 1) - (COUNTIF(E28:AI28, "HDL") * 0.5)</f>
        <v>4.75</v>
      </c>
      <c r="C28" s="206">
        <f>'Jul2025'!C26-COUNTIF(E28:AI28, "SL")-(COUNTIF(E28:AI28, "HDSL") * 0.5)</f>
        <v>1</v>
      </c>
      <c r="D28" s="207">
        <f>'Jun2025 '!D26-COUNTIF(E28:AI28, "SPL")</f>
        <v>0</v>
      </c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20"/>
      <c r="AI28" s="219"/>
      <c r="AJ28" s="203">
        <f t="shared" si="0"/>
        <v>0</v>
      </c>
    </row>
    <row r="29" spans="1:36" ht="17.25" customHeight="1" x14ac:dyDescent="0.2">
      <c r="A29" s="209" t="s">
        <v>183</v>
      </c>
      <c r="B29" s="205">
        <f>'Jul2025'!B27+1.25- (COUNTIF(E29:AI29, "VL") * 1) - (COUNTIF(E29:AI29, "HDL") * 0.5)</f>
        <v>3</v>
      </c>
      <c r="C29" s="206">
        <f>'Jul2025'!C27-COUNTIF(E29:AI29, "SL")-(COUNTIF(E29:AI29, "HDSL") * 0.5)</f>
        <v>0</v>
      </c>
      <c r="D29" s="207">
        <f>'Jun2025 '!D27-COUNTIF(E29:AI29, "SPL")</f>
        <v>4</v>
      </c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 t="s">
        <v>173</v>
      </c>
      <c r="AF29" s="208"/>
      <c r="AG29" s="208"/>
      <c r="AH29" s="220"/>
      <c r="AI29" s="219"/>
      <c r="AJ29" s="203">
        <f t="shared" si="0"/>
        <v>1</v>
      </c>
    </row>
    <row r="30" spans="1:36" ht="17.25" customHeight="1" x14ac:dyDescent="0.2">
      <c r="A30" s="209" t="s">
        <v>350</v>
      </c>
      <c r="B30" s="205">
        <f>'Jul2025'!B28+1.25- (COUNTIF(E30:AI30, "VL") * 1) - (COUNTIF(E30:AI30, "HDL") * 0.5)</f>
        <v>11.25</v>
      </c>
      <c r="C30" s="206">
        <f>'Jul2025'!C28+0.416666666666666-COUNTIF(E30:AI30, "SL")-(COUNTIF(E30:AI30, "HDSL") * 0.5)</f>
        <v>3.3333333333333282</v>
      </c>
      <c r="D30" s="207">
        <f>'Jun2025 '!D28-COUNTIF(E30:AI30, "SPL")</f>
        <v>0</v>
      </c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20"/>
      <c r="AI30" s="219"/>
      <c r="AJ30" s="203">
        <f t="shared" si="0"/>
        <v>0</v>
      </c>
    </row>
    <row r="31" spans="1:36" ht="17.25" customHeight="1" x14ac:dyDescent="0.2">
      <c r="A31" s="209" t="s">
        <v>146</v>
      </c>
      <c r="B31" s="205">
        <f>'Jul2025'!B29+1.25- (COUNTIF(E31:AI31, "VL") * 1) - (COUNTIF(E31:AI31, "HDL") * 0.5)</f>
        <v>8.5</v>
      </c>
      <c r="C31" s="206">
        <f>'Jul2025'!C29-COUNTIF(E31:AI31, "SL")-(COUNTIF(E31:AI31, "HDSL") * 0.5)</f>
        <v>0</v>
      </c>
      <c r="D31" s="207">
        <f>'Jun2025 '!D29-COUNTIF(E31:AI31, "SPL")</f>
        <v>0</v>
      </c>
      <c r="E31" s="208"/>
      <c r="F31" s="208"/>
      <c r="G31" s="208"/>
      <c r="H31" s="208"/>
      <c r="I31" s="208"/>
      <c r="J31" s="208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  <c r="AA31" s="208"/>
      <c r="AB31" s="208"/>
      <c r="AC31" s="208"/>
      <c r="AD31" s="208"/>
      <c r="AE31" s="208"/>
      <c r="AF31" s="208"/>
      <c r="AG31" s="208"/>
      <c r="AH31" s="220"/>
      <c r="AI31" s="219"/>
      <c r="AJ31" s="203">
        <f t="shared" si="0"/>
        <v>0</v>
      </c>
    </row>
    <row r="32" spans="1:36" ht="17.25" customHeight="1" x14ac:dyDescent="0.2">
      <c r="A32" s="204" t="s">
        <v>184</v>
      </c>
      <c r="B32" s="205">
        <f>'Jul2025'!B30+1.25- (COUNTIF(E32:AI32, "VL") * 1) - (COUNTIF(E32:AI32, "HDL") * 0.5)</f>
        <v>5.5</v>
      </c>
      <c r="C32" s="206">
        <f>'Jul2025'!C30-COUNTIF(E32:AI32, "SL")-(COUNTIF(E32:AI32, "HDSL") * 0.5)</f>
        <v>0</v>
      </c>
      <c r="D32" s="207">
        <f>'Jun2025 '!D30-COUNTIF(E32:AI32, "SPL")</f>
        <v>0</v>
      </c>
      <c r="E32" s="208" t="s">
        <v>172</v>
      </c>
      <c r="F32" s="208"/>
      <c r="G32" s="208"/>
      <c r="H32" s="208"/>
      <c r="I32" s="208"/>
      <c r="J32" s="208"/>
      <c r="K32" s="208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  <c r="AA32" s="208"/>
      <c r="AB32" s="208"/>
      <c r="AC32" s="208"/>
      <c r="AD32" s="208"/>
      <c r="AE32" s="208"/>
      <c r="AF32" s="208"/>
      <c r="AG32" s="208"/>
      <c r="AH32" s="220"/>
      <c r="AI32" s="219"/>
      <c r="AJ32" s="203">
        <f t="shared" si="0"/>
        <v>0</v>
      </c>
    </row>
    <row r="33" spans="1:36" ht="17.25" customHeight="1" x14ac:dyDescent="0.2">
      <c r="A33" s="213" t="s">
        <v>351</v>
      </c>
      <c r="B33" s="205">
        <f>'Jul2025'!B31+1.25- (COUNTIF(E33:AI33, "VL") * 1) - (COUNTIF(E33:AI33, "HDL") * 0.5)</f>
        <v>10.75</v>
      </c>
      <c r="C33" s="206">
        <f>'Jul2025'!C31+0.416666666666666-COUNTIF(E33:AI33, "SL")-(COUNTIF(E33:AI33, "HDSL") * 0.5)</f>
        <v>3.7499999999999942</v>
      </c>
      <c r="D33" s="207">
        <f>'Jun2025 '!D31-COUNTIF(E33:AI33, "SPL")</f>
        <v>0</v>
      </c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 t="s">
        <v>182</v>
      </c>
      <c r="AH33" s="220"/>
      <c r="AI33" s="219"/>
      <c r="AJ33" s="203">
        <f t="shared" si="0"/>
        <v>0</v>
      </c>
    </row>
    <row r="34" spans="1:36" ht="17.25" customHeight="1" x14ac:dyDescent="0.2">
      <c r="A34" s="212" t="s">
        <v>335</v>
      </c>
      <c r="B34" s="205">
        <f>'Jul2025'!B32+1.25- (COUNTIF(E34:AI34, "VL") * 1) - (COUNTIF(E34:AI34, "HDL") * 0.5)</f>
        <v>10.5</v>
      </c>
      <c r="C34" s="206">
        <f>'Jul2025'!C32+0.416666666666666-COUNTIF(E34:AI34, "SL")-(COUNTIF(E34:AI34, "HDSL") * 0.5)</f>
        <v>1.6666666666666603</v>
      </c>
      <c r="D34" s="207">
        <f>'Jun2025 '!D32-COUNTIF(E34:AI34, "SPL")</f>
        <v>0</v>
      </c>
      <c r="E34" s="208"/>
      <c r="F34" s="208"/>
      <c r="G34" s="208"/>
      <c r="H34" s="208"/>
      <c r="I34" s="208"/>
      <c r="J34" s="208"/>
      <c r="K34" s="208"/>
      <c r="L34" s="208"/>
      <c r="M34" s="208"/>
      <c r="N34" s="208"/>
      <c r="O34" s="208"/>
      <c r="P34" s="208"/>
      <c r="Q34" s="208" t="s">
        <v>175</v>
      </c>
      <c r="R34" s="208" t="s">
        <v>173</v>
      </c>
      <c r="S34" s="208"/>
      <c r="T34" s="208"/>
      <c r="U34" s="208"/>
      <c r="V34" s="208"/>
      <c r="W34" s="208"/>
      <c r="X34" s="208"/>
      <c r="Y34" s="208"/>
      <c r="Z34" s="208"/>
      <c r="AA34" s="208"/>
      <c r="AB34" s="208"/>
      <c r="AC34" s="208"/>
      <c r="AD34" s="208"/>
      <c r="AE34" s="208"/>
      <c r="AF34" s="208"/>
      <c r="AG34" s="208"/>
      <c r="AH34" s="220"/>
      <c r="AI34" s="219"/>
      <c r="AJ34" s="203">
        <f t="shared" si="0"/>
        <v>1</v>
      </c>
    </row>
    <row r="35" spans="1:36" ht="17.25" customHeight="1" x14ac:dyDescent="0.2">
      <c r="A35" s="212" t="s">
        <v>336</v>
      </c>
      <c r="B35" s="205">
        <f>'Jul2025'!B33+1.25- (COUNTIF(E35:AI35, "VL") * 1) - (COUNTIF(E35:AI35, "HDL") * 0.5)</f>
        <v>10.5</v>
      </c>
      <c r="C35" s="206">
        <f>'Jul2025'!C33+0.416666666666666-COUNTIF(E35:AI35, "SL")-(COUNTIF(E35:AI35, "HDSL") * 0.5)</f>
        <v>2.1666666666666603</v>
      </c>
      <c r="D35" s="207">
        <f>'Jun2025 '!D33-COUNTIF(E35:AI35, "SPL")</f>
        <v>0</v>
      </c>
      <c r="E35" s="208"/>
      <c r="F35" s="208"/>
      <c r="G35" s="208"/>
      <c r="H35" s="208"/>
      <c r="I35" s="208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  <c r="AB35" s="208"/>
      <c r="AC35" s="208"/>
      <c r="AD35" s="208"/>
      <c r="AE35" s="208"/>
      <c r="AF35" s="208"/>
      <c r="AG35" s="208"/>
      <c r="AH35" s="220"/>
      <c r="AI35" s="219"/>
      <c r="AJ35" s="203">
        <f t="shared" si="0"/>
        <v>0</v>
      </c>
    </row>
    <row r="36" spans="1:36" ht="17.25" customHeight="1" x14ac:dyDescent="0.2">
      <c r="A36" s="204" t="s">
        <v>157</v>
      </c>
      <c r="B36" s="205">
        <f>'Jul2025'!B34+1.25- (COUNTIF(E36:AI36, "VL") * 1) - (COUNTIF(E36:AI36, "HDL") * 0.5)</f>
        <v>7.25</v>
      </c>
      <c r="C36" s="206">
        <f>'Jul2025'!C34-COUNTIF(E36:AI36, "SL")-(COUNTIF(E36:AI36, "HDSL") * 0.5)</f>
        <v>0</v>
      </c>
      <c r="D36" s="207">
        <f>'Jun2025 '!D34-COUNTIF(E36:AI36, "SPL")</f>
        <v>0</v>
      </c>
      <c r="E36" s="208" t="s">
        <v>182</v>
      </c>
      <c r="F36" s="208"/>
      <c r="G36" s="208"/>
      <c r="H36" s="208"/>
      <c r="I36" s="208"/>
      <c r="J36" s="208"/>
      <c r="K36" s="208"/>
      <c r="L36" s="208"/>
      <c r="M36" s="208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  <c r="AA36" s="208"/>
      <c r="AB36" s="208"/>
      <c r="AC36" s="208"/>
      <c r="AD36" s="208"/>
      <c r="AE36" s="208"/>
      <c r="AF36" s="208"/>
      <c r="AG36" s="208"/>
      <c r="AH36" s="220"/>
      <c r="AI36" s="219"/>
      <c r="AJ36" s="203">
        <f t="shared" si="0"/>
        <v>0</v>
      </c>
    </row>
    <row r="37" spans="1:36" ht="17.25" customHeight="1" x14ac:dyDescent="0.2">
      <c r="A37" s="204" t="s">
        <v>161</v>
      </c>
      <c r="B37" s="205">
        <f>'Jul2025'!B35+1.25- (COUNTIF(E37:AI37, "VL") * 1) - (COUNTIF(E37:AI37, "HDL") * 0.5)</f>
        <v>2.5</v>
      </c>
      <c r="C37" s="206">
        <f>'Jul2025'!C35-COUNTIF(E37:AI37, "SL")-(COUNTIF(E37:AI37, "HDSL") * 0.5)</f>
        <v>0</v>
      </c>
      <c r="D37" s="207">
        <f>'Jun2025 '!D35-COUNTIF(E37:AI37, "SPL")</f>
        <v>0</v>
      </c>
      <c r="E37" s="208"/>
      <c r="F37" s="208"/>
      <c r="G37" s="208"/>
      <c r="H37" s="208"/>
      <c r="I37" s="208"/>
      <c r="J37" s="208"/>
      <c r="K37" s="208"/>
      <c r="L37" s="208"/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  <c r="AA37" s="208"/>
      <c r="AB37" s="208"/>
      <c r="AC37" s="208"/>
      <c r="AD37" s="208"/>
      <c r="AE37" s="208"/>
      <c r="AF37" s="208"/>
      <c r="AG37" s="208"/>
      <c r="AH37" s="220"/>
      <c r="AI37" s="219"/>
      <c r="AJ37" s="203">
        <f t="shared" si="0"/>
        <v>0</v>
      </c>
    </row>
    <row r="38" spans="1:36" ht="17.25" customHeight="1" x14ac:dyDescent="0.2">
      <c r="A38" s="209" t="s">
        <v>338</v>
      </c>
      <c r="B38" s="205">
        <f>'Jul2025'!B36+1.25- (COUNTIF(E38:AI38, "VL") * 1) - (COUNTIF(E38:AI38, "HDL") * 0.5)</f>
        <v>10.5</v>
      </c>
      <c r="C38" s="206">
        <f>'Jul2025'!C36+0.416666666666666-COUNTIF(E38:AI38, "SL")-(COUNTIF(E38:AI38, "HDSL") * 0.5)</f>
        <v>2.6666666666666599</v>
      </c>
      <c r="D38" s="207">
        <f>'Jun2025 '!D36-COUNTIF(E38:AI38, "SPL")</f>
        <v>0</v>
      </c>
      <c r="E38" s="208"/>
      <c r="F38" s="208"/>
      <c r="G38" s="208"/>
      <c r="H38" s="208"/>
      <c r="I38" s="208"/>
      <c r="J38" s="208"/>
      <c r="K38" s="208"/>
      <c r="L38" s="208"/>
      <c r="M38" s="208"/>
      <c r="N38" s="208"/>
      <c r="O38" s="208"/>
      <c r="P38" s="208" t="s">
        <v>175</v>
      </c>
      <c r="Q38" s="208" t="s">
        <v>173</v>
      </c>
      <c r="R38" s="208"/>
      <c r="S38" s="208"/>
      <c r="T38" s="208"/>
      <c r="U38" s="208"/>
      <c r="V38" s="208"/>
      <c r="W38" s="208"/>
      <c r="X38" s="208"/>
      <c r="Y38" s="208"/>
      <c r="Z38" s="208"/>
      <c r="AA38" s="208"/>
      <c r="AB38" s="208"/>
      <c r="AC38" s="208"/>
      <c r="AD38" s="208"/>
      <c r="AE38" s="208"/>
      <c r="AF38" s="208"/>
      <c r="AG38" s="208"/>
      <c r="AH38" s="220"/>
      <c r="AI38" s="219"/>
      <c r="AJ38" s="203">
        <f t="shared" si="0"/>
        <v>1</v>
      </c>
    </row>
    <row r="39" spans="1:36" ht="17.25" customHeight="1" x14ac:dyDescent="0.2">
      <c r="A39" s="215" t="s">
        <v>358</v>
      </c>
      <c r="B39" s="205">
        <f>MIN(7.5,15)- (COUNTIF(E39:AI39, "VL") * 1) - (COUNTIF(E39:AI39, "HDL") * 0.5)</f>
        <v>7.5</v>
      </c>
      <c r="C39" s="206">
        <f>MIN(2.5, 5)-COUNTIF(E39:AI39, "SL")-(COUNTIF(E39:AI39, "HDSL") * 0.5)</f>
        <v>2.5</v>
      </c>
      <c r="D39" s="207"/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08"/>
      <c r="AD39" s="208"/>
      <c r="AE39" s="208"/>
      <c r="AF39" s="208"/>
      <c r="AG39" s="208"/>
      <c r="AH39" s="220"/>
      <c r="AI39" s="219"/>
      <c r="AJ39" s="203">
        <f t="shared" si="0"/>
        <v>0</v>
      </c>
    </row>
    <row r="40" spans="1:36" ht="17.25" customHeight="1" x14ac:dyDescent="0.2">
      <c r="A40" s="209" t="s">
        <v>167</v>
      </c>
      <c r="B40" s="205">
        <f>'Jul2025'!B37+1.25- (COUNTIF(E40:AI40, "VL") * 1) - (COUNTIF(E40:AI40, "HDL") * 0.5)</f>
        <v>13.25</v>
      </c>
      <c r="C40" s="206">
        <f>'Jul2025'!C37-COUNTIF(E40:AI40, "SL")-(COUNTIF(E40:AI40, "HDSL") * 0.5)</f>
        <v>0.5</v>
      </c>
      <c r="D40" s="207">
        <f>'Jun2025 '!D37-COUNTIF(E40:AI40, "SPL")</f>
        <v>0</v>
      </c>
      <c r="E40" s="208"/>
      <c r="F40" s="208"/>
      <c r="G40" s="208"/>
      <c r="H40" s="208"/>
      <c r="I40" s="208"/>
      <c r="J40" s="208"/>
      <c r="K40" s="208"/>
      <c r="L40" s="208"/>
      <c r="M40" s="208"/>
      <c r="N40" s="208"/>
      <c r="O40" s="208" t="s">
        <v>173</v>
      </c>
      <c r="P40" s="208" t="s">
        <v>175</v>
      </c>
      <c r="Q40" s="208" t="s">
        <v>173</v>
      </c>
      <c r="R40" s="208"/>
      <c r="S40" s="208"/>
      <c r="T40" s="208"/>
      <c r="U40" s="218"/>
      <c r="V40" s="218"/>
      <c r="W40" s="218"/>
      <c r="X40" s="218"/>
      <c r="Y40" s="208"/>
      <c r="Z40" s="208"/>
      <c r="AA40" s="208"/>
      <c r="AB40" s="208"/>
      <c r="AC40" s="208"/>
      <c r="AD40" s="208"/>
      <c r="AE40" s="208"/>
      <c r="AF40" s="208"/>
      <c r="AG40" s="208"/>
      <c r="AH40" s="220"/>
      <c r="AI40" s="219"/>
      <c r="AJ40" s="203">
        <f t="shared" si="0"/>
        <v>2</v>
      </c>
    </row>
    <row r="41" spans="1:36" ht="17.25" customHeight="1" x14ac:dyDescent="0.2">
      <c r="A41" s="209" t="s">
        <v>353</v>
      </c>
      <c r="B41" s="205">
        <f>'Jul2025'!B38+1.25- (COUNTIF(E41:AI41, "VL") * 1) - (COUNTIF(E41:AI41, "HDL") * 0.5)</f>
        <v>7.25</v>
      </c>
      <c r="C41" s="206">
        <f>'Jul2025'!C38+0.416666666666666-COUNTIF(E41:AI41, "SL")-(COUNTIF(E41:AI41, "HDSL") * 0.5)</f>
        <v>1.7499999999999942</v>
      </c>
      <c r="D41" s="207">
        <f>'Jun2025 '!D38-COUNTIF(E41:AI41, "SPL")</f>
        <v>0</v>
      </c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  <c r="AA41" s="208"/>
      <c r="AB41" s="208"/>
      <c r="AC41" s="208"/>
      <c r="AD41" s="208"/>
      <c r="AE41" s="208"/>
      <c r="AF41" s="208"/>
      <c r="AG41" s="211"/>
      <c r="AH41" s="222"/>
      <c r="AI41" s="219"/>
      <c r="AJ41" s="203">
        <f t="shared" si="0"/>
        <v>0</v>
      </c>
    </row>
    <row r="42" spans="1:36" ht="17.25" customHeight="1" x14ac:dyDescent="0.2">
      <c r="A42" s="204" t="s">
        <v>159</v>
      </c>
      <c r="B42" s="205">
        <f>'Jul2025'!B39+1.25- (COUNTIF(E42:AI42, "VL") * 1) - (COUNTIF(E42:AI42, "HDL") * 0.5)</f>
        <v>10</v>
      </c>
      <c r="C42" s="206">
        <f>'Jul2025'!C39-COUNTIF(E42:AI42, "SL")-(COUNTIF(E42:AI42, "HDSL") * 0.5)</f>
        <v>0</v>
      </c>
      <c r="D42" s="207">
        <f>'Jun2025 '!D39-COUNTIF(E42:AI42, "SPL")</f>
        <v>0</v>
      </c>
      <c r="E42" s="208"/>
      <c r="F42" s="208"/>
      <c r="G42" s="208"/>
      <c r="H42" s="208"/>
      <c r="I42" s="208"/>
      <c r="J42" s="208"/>
      <c r="K42" s="208"/>
      <c r="L42" s="208"/>
      <c r="M42" s="208"/>
      <c r="N42" s="208"/>
      <c r="O42" s="208" t="s">
        <v>173</v>
      </c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  <c r="AA42" s="208"/>
      <c r="AB42" s="208"/>
      <c r="AC42" s="208"/>
      <c r="AD42" s="208"/>
      <c r="AE42" s="208"/>
      <c r="AF42" s="208"/>
      <c r="AG42" s="208"/>
      <c r="AH42" s="220"/>
      <c r="AI42" s="219"/>
      <c r="AJ42" s="203">
        <f t="shared" si="0"/>
        <v>1</v>
      </c>
    </row>
    <row r="43" spans="1:36" ht="17.25" customHeight="1" x14ac:dyDescent="0.2">
      <c r="A43" s="204" t="s">
        <v>223</v>
      </c>
      <c r="B43" s="205">
        <f>'Jul2025'!B40+1.25- (COUNTIF(E43:AI43, "VL") * 1) - (COUNTIF(E43:AI43, "HDL") * 0.5)</f>
        <v>9</v>
      </c>
      <c r="C43" s="206">
        <f>'Jul2025'!C40+0.416666666666666-COUNTIF(E43:AI43, "SL")-(COUNTIF(E43:AI43, "HDSL") * 0.5)</f>
        <v>3.4959999999999964</v>
      </c>
      <c r="D43" s="207">
        <f>'Jun2025 '!D40-COUNTIF(E43:AI43, "SPL")</f>
        <v>0</v>
      </c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208" t="s">
        <v>175</v>
      </c>
      <c r="T43" s="208"/>
      <c r="U43" s="208"/>
      <c r="V43" s="208"/>
      <c r="W43" s="208"/>
      <c r="X43" s="208"/>
      <c r="Y43" s="208"/>
      <c r="Z43" s="208"/>
      <c r="AA43" s="208"/>
      <c r="AB43" s="208"/>
      <c r="AC43" s="208"/>
      <c r="AD43" s="208"/>
      <c r="AE43" s="208"/>
      <c r="AF43" s="208"/>
      <c r="AG43" s="208"/>
      <c r="AH43" s="220"/>
      <c r="AI43" s="219"/>
      <c r="AJ43" s="203">
        <f t="shared" si="0"/>
        <v>0</v>
      </c>
    </row>
    <row r="44" spans="1:36" ht="17.25" customHeight="1" x14ac:dyDescent="0.2">
      <c r="A44" s="215" t="s">
        <v>359</v>
      </c>
      <c r="B44" s="205">
        <f>MIN(7.5)- (COUNTIF(E44:AI44, "VL") * 1) - (COUNTIF(E44:AI44, "HDL") * 0.5)</f>
        <v>7.5</v>
      </c>
      <c r="C44" s="206">
        <f>MIN(2.5)-COUNTIF(E44:AI44, "SL")-(COUNTIF(E44:AI44, "HDSL") * 0.5)</f>
        <v>2.5</v>
      </c>
      <c r="D44" s="207"/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  <c r="AA44" s="208"/>
      <c r="AB44" s="208"/>
      <c r="AC44" s="208"/>
      <c r="AD44" s="208"/>
      <c r="AE44" s="208"/>
      <c r="AF44" s="208"/>
      <c r="AG44" s="208"/>
      <c r="AH44" s="220"/>
      <c r="AI44" s="219"/>
      <c r="AJ44" s="203">
        <f t="shared" si="0"/>
        <v>0</v>
      </c>
    </row>
    <row r="45" spans="1:36" ht="17.25" customHeight="1" x14ac:dyDescent="0.2">
      <c r="A45" s="204" t="s">
        <v>185</v>
      </c>
      <c r="B45" s="205">
        <f>'Jul2025'!B41+1.25- (COUNTIF(E45:AI45, "VL") * 1) - (COUNTIF(E45:AI45, "HDL") * 0.5)</f>
        <v>6.5</v>
      </c>
      <c r="C45" s="206">
        <f>'Jul2025'!C41-COUNTIF(E45:AI45, "SL")-(COUNTIF(E45:AI45, "HDSL") * 0.5)</f>
        <v>2</v>
      </c>
      <c r="D45" s="207">
        <f>'Jun2025 '!D41-COUNTIF(E45:AI45, "SPL")</f>
        <v>0</v>
      </c>
      <c r="E45" s="208"/>
      <c r="F45" s="208"/>
      <c r="G45" s="208"/>
      <c r="H45" s="208"/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 t="s">
        <v>173</v>
      </c>
      <c r="Y45" s="208"/>
      <c r="Z45" s="208"/>
      <c r="AA45" s="208"/>
      <c r="AB45" s="208"/>
      <c r="AC45" s="208"/>
      <c r="AD45" s="208"/>
      <c r="AE45" s="208"/>
      <c r="AF45" s="208"/>
      <c r="AG45" s="208"/>
      <c r="AH45" s="220"/>
      <c r="AI45" s="219"/>
      <c r="AJ45" s="203">
        <f t="shared" si="0"/>
        <v>1</v>
      </c>
    </row>
    <row r="46" spans="1:36" ht="15.75" customHeight="1" x14ac:dyDescent="0.2">
      <c r="A46" s="215" t="s">
        <v>360</v>
      </c>
      <c r="B46" s="205">
        <f>MIN(7.5)- (COUNTIF(E46:AI46, "VL") * 1) - (COUNTIF(E46:AI46, "HDL") * 0.5)</f>
        <v>5.5</v>
      </c>
      <c r="C46" s="206">
        <f>MIN(2.5, 5)-COUNTIF(E46:AI46, "SL")-(COUNTIF(E46:AI46, "HDSL") * 0.5)</f>
        <v>1.5</v>
      </c>
      <c r="D46" s="207"/>
      <c r="E46" s="208"/>
      <c r="F46" s="208"/>
      <c r="G46" s="208"/>
      <c r="H46" s="208"/>
      <c r="I46" s="208"/>
      <c r="J46" s="208"/>
      <c r="K46" s="208"/>
      <c r="L46" s="208"/>
      <c r="M46" s="208"/>
      <c r="N46" s="208"/>
      <c r="O46" s="208" t="s">
        <v>172</v>
      </c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  <c r="AA46" s="208"/>
      <c r="AB46" s="208"/>
      <c r="AC46" s="208"/>
      <c r="AD46" s="208"/>
      <c r="AE46" s="208"/>
      <c r="AF46" s="208" t="s">
        <v>172</v>
      </c>
      <c r="AG46" s="208" t="s">
        <v>173</v>
      </c>
      <c r="AH46" s="220"/>
      <c r="AI46" s="219"/>
      <c r="AJ46" s="203">
        <f t="shared" si="0"/>
        <v>1</v>
      </c>
    </row>
    <row r="47" spans="1:36" ht="15.75" customHeight="1" x14ac:dyDescent="0.2">
      <c r="A47" s="204" t="s">
        <v>148</v>
      </c>
      <c r="B47" s="205">
        <f>'Jul2025'!B42+1.25- (COUNTIF(E47:AI47, "VL") * 1) - (COUNTIF(E47:AI47, "HDL") * 0.5)</f>
        <v>8.5</v>
      </c>
      <c r="C47" s="206">
        <f>'Jul2025'!C42-COUNTIF(E47:AI47, "SL")-(COUNTIF(E47:AI47, "HDSL") * 0.5)</f>
        <v>0.5</v>
      </c>
      <c r="D47" s="207">
        <f>'Jun2025 '!D42-COUNTIF(E47:AI47, "SPL")</f>
        <v>0</v>
      </c>
      <c r="E47" s="208"/>
      <c r="F47" s="208"/>
      <c r="G47" s="208"/>
      <c r="H47" s="208"/>
      <c r="I47" s="208"/>
      <c r="J47" s="208"/>
      <c r="K47" s="208"/>
      <c r="L47" s="208"/>
      <c r="M47" s="208"/>
      <c r="N47" s="208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  <c r="AA47" s="208"/>
      <c r="AB47" s="208"/>
      <c r="AC47" s="208"/>
      <c r="AD47" s="208"/>
      <c r="AE47" s="208"/>
      <c r="AF47" s="208"/>
      <c r="AG47" s="208"/>
      <c r="AH47" s="220"/>
      <c r="AI47" s="219"/>
      <c r="AJ47" s="203">
        <f t="shared" si="0"/>
        <v>0</v>
      </c>
    </row>
    <row r="48" spans="1:36" ht="15.75" customHeight="1" x14ac:dyDescent="0.2">
      <c r="A48" s="228" t="s">
        <v>171</v>
      </c>
      <c r="B48" s="205">
        <f>'Jun2025 '!B43+1.25- (COUNTIF(E48:AI48, "VL") * 1) - (COUNTIF(E48:AI48, "HDL") * 0.5)</f>
        <v>22.75</v>
      </c>
      <c r="C48" s="206">
        <f>'May2025 '!C43-COUNTIF(E48:AI48, "SL")-(COUNTIF(E48:AI48, "HDSL") * 0.5)</f>
        <v>3</v>
      </c>
      <c r="D48" s="207">
        <f>'Jun2025 '!D43-COUNTIF(E48:AI48, "SPL")</f>
        <v>0</v>
      </c>
      <c r="E48" s="208"/>
      <c r="F48" s="208"/>
      <c r="G48" s="208"/>
      <c r="H48" s="208"/>
      <c r="I48" s="208"/>
      <c r="J48" s="208"/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/>
      <c r="W48" s="208"/>
      <c r="X48" s="208"/>
      <c r="Y48" s="208"/>
      <c r="Z48" s="208"/>
      <c r="AA48" s="208"/>
      <c r="AB48" s="208"/>
      <c r="AC48" s="208"/>
      <c r="AD48" s="208"/>
      <c r="AE48" s="208"/>
      <c r="AF48" s="208"/>
      <c r="AG48" s="208"/>
      <c r="AH48" s="220"/>
      <c r="AI48" s="219"/>
      <c r="AJ48" s="203">
        <f t="shared" si="0"/>
        <v>0</v>
      </c>
    </row>
    <row r="49" spans="1:36" ht="15.75" customHeight="1" x14ac:dyDescent="0.2">
      <c r="A49" s="204" t="s">
        <v>186</v>
      </c>
      <c r="B49" s="205">
        <f>'Jul2025'!B44+1.25- (COUNTIF(E49:AI49, "VL") * 1) - (COUNTIF(E49:AI49, "HDL") * 0.5)</f>
        <v>10.5</v>
      </c>
      <c r="C49" s="206">
        <f>'Jul2025'!C44-COUNTIF(E49:AI49, "SL")-(COUNTIF(E49:AI49, "HDSL") * 0.5)</f>
        <v>4.5</v>
      </c>
      <c r="D49" s="207">
        <f>'Jun2025 '!D44-COUNTIF(E49:AI49, "SPL")</f>
        <v>0</v>
      </c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/>
      <c r="AB49" s="208"/>
      <c r="AC49" s="208" t="s">
        <v>172</v>
      </c>
      <c r="AD49" s="208" t="s">
        <v>172</v>
      </c>
      <c r="AE49" s="208"/>
      <c r="AF49" s="208"/>
      <c r="AG49" s="208"/>
      <c r="AH49" s="220"/>
      <c r="AI49" s="219"/>
      <c r="AJ49" s="203">
        <f t="shared" si="0"/>
        <v>0</v>
      </c>
    </row>
    <row r="50" spans="1:36" ht="15.75" customHeight="1" x14ac:dyDescent="0.2">
      <c r="A50" s="215" t="s">
        <v>361</v>
      </c>
      <c r="B50" s="205">
        <f>MIN(7.5,15)- (COUNTIF(E50:AI50, "VL") * 1) - (COUNTIF(E50:AI50, "HDL") * 0.5)</f>
        <v>7.5</v>
      </c>
      <c r="C50" s="206">
        <f>MIN(2.5)-COUNTIF(E50:AI50, "SL")-(COUNTIF(E50:AI50, "HDSL") * 0.5)</f>
        <v>2.5</v>
      </c>
      <c r="D50" s="207"/>
      <c r="E50" s="208"/>
      <c r="F50" s="208"/>
      <c r="G50" s="208"/>
      <c r="H50" s="208"/>
      <c r="I50" s="208"/>
      <c r="J50" s="208"/>
      <c r="K50" s="208"/>
      <c r="L50" s="208"/>
      <c r="M50" s="208"/>
      <c r="N50" s="208"/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208"/>
      <c r="Z50" s="208"/>
      <c r="AA50" s="208"/>
      <c r="AB50" s="208"/>
      <c r="AC50" s="208"/>
      <c r="AD50" s="208"/>
      <c r="AE50" s="208"/>
      <c r="AF50" s="208"/>
      <c r="AG50" s="208"/>
      <c r="AH50" s="220"/>
      <c r="AI50" s="219"/>
      <c r="AJ50" s="203">
        <f t="shared" si="0"/>
        <v>0</v>
      </c>
    </row>
    <row r="51" spans="1:36" ht="15.75" customHeight="1" x14ac:dyDescent="0.2">
      <c r="A51" s="209" t="s">
        <v>188</v>
      </c>
      <c r="B51" s="205">
        <f>'Jul2025'!B45+1.25- (COUNTIF(E51:AI51, "VL") * 1) - (COUNTIF(E51:AI51, "HDL") * 0.5)</f>
        <v>0</v>
      </c>
      <c r="C51" s="206">
        <f>'Jul2025'!C45-COUNTIF(E51:AI51, "SL")-(COUNTIF(E51:AI51, "HDSL") * 0.5)</f>
        <v>0</v>
      </c>
      <c r="D51" s="207">
        <f>'Jun2025 '!D45-COUNTIF(E51:AI51, "SPL")</f>
        <v>0</v>
      </c>
      <c r="E51" s="208"/>
      <c r="F51" s="208"/>
      <c r="G51" s="208"/>
      <c r="H51" s="208" t="s">
        <v>172</v>
      </c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 t="s">
        <v>172</v>
      </c>
      <c r="U51" s="208"/>
      <c r="V51" s="208"/>
      <c r="W51" s="208" t="s">
        <v>175</v>
      </c>
      <c r="X51" s="208"/>
      <c r="Y51" s="208"/>
      <c r="Z51" s="208"/>
      <c r="AA51" s="208"/>
      <c r="AB51" s="208"/>
      <c r="AC51" s="208"/>
      <c r="AD51" s="208"/>
      <c r="AE51" s="208"/>
      <c r="AF51" s="208"/>
      <c r="AG51" s="208"/>
      <c r="AH51" s="220"/>
      <c r="AI51" s="219"/>
      <c r="AJ51" s="203">
        <f t="shared" si="0"/>
        <v>0</v>
      </c>
    </row>
    <row r="52" spans="1:36" ht="15.75" customHeight="1" x14ac:dyDescent="0.2">
      <c r="A52" s="204" t="s">
        <v>187</v>
      </c>
      <c r="B52" s="205">
        <f>'Jul2025'!B46+1.25- (COUNTIF(E52:AI52, "VL") * 1) - (COUNTIF(E52:AI52, "HDL") * 0.5)</f>
        <v>10.25</v>
      </c>
      <c r="C52" s="206">
        <f>'Jul2025'!C46-COUNTIF(E52:AI52, "SL")-(COUNTIF(E52:AI52, "HDSL") * 0.5)</f>
        <v>2</v>
      </c>
      <c r="D52" s="207">
        <f>'Jun2025 '!D46-COUNTIF(E52:AI52, "SPL")</f>
        <v>0</v>
      </c>
      <c r="E52" s="208"/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  <c r="AA52" s="208"/>
      <c r="AB52" s="208"/>
      <c r="AC52" s="208"/>
      <c r="AD52" s="208"/>
      <c r="AE52" s="208"/>
      <c r="AF52" s="208"/>
      <c r="AG52" s="208"/>
      <c r="AH52" s="220"/>
      <c r="AI52" s="219"/>
      <c r="AJ52" s="203">
        <f t="shared" si="0"/>
        <v>0</v>
      </c>
    </row>
    <row r="53" spans="1:36" ht="15.75" customHeight="1" x14ac:dyDescent="0.2">
      <c r="A53" s="209" t="s">
        <v>219</v>
      </c>
      <c r="B53" s="205">
        <f>'Jul2025'!B47+1.25- (COUNTIF(E53:AI53, "VL") * 1) - (COUNTIF(E53:AI53, "HDL") * 0.5)</f>
        <v>17.75</v>
      </c>
      <c r="C53" s="206">
        <f>'Jul2025'!C47-COUNTIF(E53:AI53, "SL")-(COUNTIF(E53:AI53, "HDSL") * 0.5)</f>
        <v>7.4999999999999964</v>
      </c>
      <c r="D53" s="207">
        <f>'Jun2025 '!D47-COUNTIF(E53:AI53, "SPL")</f>
        <v>0</v>
      </c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  <c r="AA53" s="208"/>
      <c r="AB53" s="208"/>
      <c r="AC53" s="208"/>
      <c r="AD53" s="208"/>
      <c r="AE53" s="208"/>
      <c r="AF53" s="208"/>
      <c r="AG53" s="208"/>
      <c r="AH53" s="220"/>
      <c r="AI53" s="219"/>
      <c r="AJ53" s="203">
        <f t="shared" si="0"/>
        <v>0</v>
      </c>
    </row>
    <row r="54" spans="1:36" ht="15.75" customHeight="1" x14ac:dyDescent="0.2">
      <c r="A54" s="215" t="s">
        <v>362</v>
      </c>
      <c r="B54" s="205">
        <f>MIN(7.5)- (COUNTIF(E54:AI54, "VL") * 1) - (COUNTIF(E54:AI54, "HDL") * 0.5)</f>
        <v>7.5</v>
      </c>
      <c r="C54" s="206">
        <f>MIN(2.5, 5)-COUNTIF(E54:AI54, "SL")-(COUNTIF(E54:AI54, "HDSL") * 0.5)</f>
        <v>2.5</v>
      </c>
      <c r="D54" s="207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  <c r="AA54" s="208"/>
      <c r="AB54" s="208"/>
      <c r="AC54" s="208"/>
      <c r="AD54" s="208"/>
      <c r="AE54" s="208"/>
      <c r="AF54" s="208"/>
      <c r="AG54" s="208"/>
      <c r="AH54" s="220"/>
      <c r="AI54" s="219"/>
      <c r="AJ54" s="203">
        <f t="shared" si="0"/>
        <v>0</v>
      </c>
    </row>
    <row r="55" spans="1:36" x14ac:dyDescent="0.2">
      <c r="A55" s="204" t="s">
        <v>154</v>
      </c>
      <c r="B55" s="205">
        <f>'Jul2025'!B48+1.25- (COUNTIF(E55:AI55, "VL") * 1) - (COUNTIF(E55:AI55, "HDL") * 0.5)</f>
        <v>2</v>
      </c>
      <c r="C55" s="206">
        <f>'Jul2025'!C48-COUNTIF(E55:AI55, "SL")-(COUNTIF(E55:AI55, "HDSL") * 0.5)</f>
        <v>2</v>
      </c>
      <c r="D55" s="207">
        <f>'Jun2025 '!D48-COUNTIF(E55:AI55, "SPL")</f>
        <v>0</v>
      </c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 t="s">
        <v>172</v>
      </c>
      <c r="Y55" s="208" t="s">
        <v>173</v>
      </c>
      <c r="Z55" s="208"/>
      <c r="AA55" s="208"/>
      <c r="AB55" s="208"/>
      <c r="AC55" s="208"/>
      <c r="AD55" s="208"/>
      <c r="AE55" s="208"/>
      <c r="AF55" s="208"/>
      <c r="AG55" s="208"/>
      <c r="AH55" s="220"/>
      <c r="AI55" s="219"/>
      <c r="AJ55" s="203">
        <f t="shared" si="0"/>
        <v>1</v>
      </c>
    </row>
    <row r="56" spans="1:36" x14ac:dyDescent="0.2">
      <c r="A56" s="204" t="s">
        <v>189</v>
      </c>
      <c r="B56" s="205">
        <f>'Jul2025'!B49+1.25- (COUNTIF(E56:AI56, "VL") * 1) - (COUNTIF(E56:AI56, "HDL") * 0.5)</f>
        <v>24.25</v>
      </c>
      <c r="C56" s="206">
        <f>'Jul2025'!C49-COUNTIF(E56:AI56, "SL")-(COUNTIF(E56:AI56, "HDSL") * 0.5)</f>
        <v>2</v>
      </c>
      <c r="D56" s="207">
        <f>'Jun2025 '!D49-COUNTIF(E56:AI56, "SPL")</f>
        <v>0</v>
      </c>
      <c r="E56" s="208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  <c r="Z56" s="208"/>
      <c r="AA56" s="208"/>
      <c r="AB56" s="208"/>
      <c r="AC56" s="208"/>
      <c r="AD56" s="208"/>
      <c r="AE56" s="208"/>
      <c r="AF56" s="208"/>
      <c r="AG56" s="211"/>
      <c r="AH56" s="222"/>
      <c r="AI56" s="219"/>
      <c r="AJ56" s="203">
        <f t="shared" si="0"/>
        <v>0</v>
      </c>
    </row>
    <row r="57" spans="1:36" x14ac:dyDescent="0.2">
      <c r="A57" s="204" t="s">
        <v>354</v>
      </c>
      <c r="B57" s="205">
        <f>'Jul2025'!B50+1.25- (COUNTIF(E57:AI57, "VL") * 1) - (COUNTIF(E57:AI57, "HDL") * 0.5)</f>
        <v>11.25</v>
      </c>
      <c r="C57" s="206">
        <f>'Jul2025'!C50+0.416-COUNTIF(E57:AI57, "SL")-(COUNTIF(E57:AI57, "HDSL") * 0.5)</f>
        <v>1.7486666666666619</v>
      </c>
      <c r="D57" s="207">
        <f>'Jun2025 '!D50-COUNTIF(E57:AI57, "SPL")</f>
        <v>0</v>
      </c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 t="s">
        <v>173</v>
      </c>
      <c r="T57" s="208"/>
      <c r="U57" s="208"/>
      <c r="V57" s="208"/>
      <c r="W57" s="208"/>
      <c r="X57" s="208"/>
      <c r="Y57" s="208"/>
      <c r="Z57" s="208"/>
      <c r="AA57" s="208"/>
      <c r="AB57" s="208"/>
      <c r="AC57" s="208"/>
      <c r="AD57" s="208"/>
      <c r="AE57" s="208"/>
      <c r="AF57" s="208"/>
      <c r="AG57" s="211"/>
      <c r="AH57" s="222"/>
      <c r="AI57" s="219"/>
      <c r="AJ57" s="203">
        <f t="shared" si="0"/>
        <v>1</v>
      </c>
    </row>
    <row r="58" spans="1:36" x14ac:dyDescent="0.2">
      <c r="A58" s="215" t="s">
        <v>363</v>
      </c>
      <c r="B58" s="205">
        <f>MIN('Jul2025'!B51 + 1.25)- (COUNTIF(E58:AI58, "VL") * 1) - (COUNTIF(E58:AI58, "HDL") * 0.5)</f>
        <v>8.75</v>
      </c>
      <c r="C58" s="206">
        <f>MIN('Jul2025'!C51 +0.416, 5)-COUNTIF(E58:AI58, "SL")-(COUNTIF(E58:AI58, "HDSL") * 0.5)</f>
        <v>2.9159999999999999</v>
      </c>
      <c r="D58" s="207">
        <f>'Jun2025 '!D51-COUNTIF(E58:AI58, "SPL")</f>
        <v>0</v>
      </c>
      <c r="E58" s="216"/>
      <c r="F58" s="216"/>
      <c r="G58" s="216"/>
      <c r="H58" s="216"/>
      <c r="I58" s="216"/>
      <c r="J58" s="216"/>
      <c r="K58" s="216"/>
      <c r="L58" s="216"/>
      <c r="M58" s="216"/>
      <c r="N58" s="216"/>
      <c r="O58" s="216"/>
      <c r="P58" s="216"/>
      <c r="Q58" s="216"/>
      <c r="R58" s="216"/>
      <c r="S58" s="216"/>
      <c r="T58" s="216"/>
      <c r="U58" s="216"/>
      <c r="V58" s="216"/>
      <c r="W58" s="216"/>
      <c r="X58" s="216"/>
      <c r="Y58" s="216"/>
      <c r="Z58" s="216"/>
      <c r="AA58" s="216"/>
      <c r="AB58" s="216"/>
      <c r="AC58" s="216"/>
      <c r="AD58" s="216"/>
      <c r="AE58" s="216"/>
      <c r="AF58" s="216"/>
      <c r="AG58" s="225"/>
      <c r="AH58" s="226"/>
      <c r="AI58" s="219"/>
      <c r="AJ58" s="203">
        <f t="shared" si="0"/>
        <v>0</v>
      </c>
    </row>
    <row r="59" spans="1:36" x14ac:dyDescent="0.2">
      <c r="A59" s="204" t="s">
        <v>155</v>
      </c>
      <c r="B59" s="205">
        <f>'Jul2025'!B52+1.25- (COUNTIF(E59:AI59, "VL") * 1) - (COUNTIF(E59:AI59, "HDL") * 0.5)</f>
        <v>3.25</v>
      </c>
      <c r="C59" s="206">
        <f>'Jul2025'!C52-COUNTIF(E59:AI59, "SL")-(COUNTIF(E59:AI59, "HDSL") * 0.5)</f>
        <v>0</v>
      </c>
      <c r="D59" s="207">
        <f>'Jun2025 '!D51-COUNTIF(E59:AI59, "SPL")</f>
        <v>0</v>
      </c>
      <c r="E59" s="216"/>
      <c r="F59" s="216"/>
      <c r="G59" s="216"/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 t="s">
        <v>172</v>
      </c>
      <c r="T59" s="216"/>
      <c r="U59" s="216"/>
      <c r="V59" s="216"/>
      <c r="W59" s="216"/>
      <c r="X59" s="216"/>
      <c r="Y59" s="216"/>
      <c r="Z59" s="216"/>
      <c r="AA59" s="216"/>
      <c r="AB59" s="216"/>
      <c r="AC59" s="216"/>
      <c r="AD59" s="216"/>
      <c r="AE59" s="216"/>
      <c r="AF59" s="216"/>
      <c r="AG59" s="216"/>
      <c r="AH59" s="223"/>
      <c r="AI59" s="219"/>
      <c r="AJ59" s="203">
        <f t="shared" si="0"/>
        <v>0</v>
      </c>
    </row>
    <row r="60" spans="1:36" x14ac:dyDescent="0.2">
      <c r="A60" s="204" t="s">
        <v>224</v>
      </c>
      <c r="B60" s="205">
        <f>'Jul2025'!B53+1.25- (COUNTIF(E60:AI60, "VL") * 1) - (COUNTIF(E60:AI60, "HDL") * 0.5)</f>
        <v>12</v>
      </c>
      <c r="C60" s="206">
        <f>'Jul2025'!C53+0.416666666666666-COUNTIF(E60:AI60, "SL")-(COUNTIF(E60:AI60, "HDSL") * 0.5)</f>
        <v>4.995999999999996</v>
      </c>
      <c r="D60" s="207">
        <f>'Jun2025 '!D52-COUNTIF(E60:AI60, "SPL")</f>
        <v>0</v>
      </c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  <c r="Z60" s="211"/>
      <c r="AA60" s="211"/>
      <c r="AB60" s="211"/>
      <c r="AC60" s="211"/>
      <c r="AD60" s="211"/>
      <c r="AE60" s="211"/>
      <c r="AF60" s="211"/>
      <c r="AG60" s="211"/>
      <c r="AH60" s="222"/>
      <c r="AI60" s="219"/>
      <c r="AJ60" s="203">
        <f t="shared" si="0"/>
        <v>0</v>
      </c>
    </row>
    <row r="61" spans="1:36" x14ac:dyDescent="0.2">
      <c r="A61" s="204" t="s">
        <v>166</v>
      </c>
      <c r="B61" s="205">
        <f>'Jul2025'!B54+1.25- (COUNTIF(E61:AI61, "VL") * 1) - (COUNTIF(E61:AI61, "HDL") * 0.5)</f>
        <v>3.25</v>
      </c>
      <c r="C61" s="206">
        <f>'Jul2025'!C54-COUNTIF(E61:AI61, "SL")-(COUNTIF(E61:AI61, "HDSL") * 0.5)</f>
        <v>2</v>
      </c>
      <c r="D61" s="207">
        <f>'Jun2025 '!D53-COUNTIF(E61:AI61, "SPL")</f>
        <v>0</v>
      </c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9" t="s">
        <v>172</v>
      </c>
      <c r="Q61" s="211"/>
      <c r="R61" s="211"/>
      <c r="S61" s="211"/>
      <c r="T61" s="211"/>
      <c r="U61" s="211"/>
      <c r="V61" s="211"/>
      <c r="W61" s="211"/>
      <c r="X61" s="211"/>
      <c r="Y61" s="211"/>
      <c r="Z61" s="211"/>
      <c r="AA61" s="211"/>
      <c r="AB61" s="211"/>
      <c r="AC61" s="211"/>
      <c r="AD61" s="211"/>
      <c r="AE61" s="211"/>
      <c r="AF61" s="211"/>
      <c r="AG61" s="211"/>
      <c r="AH61" s="222"/>
      <c r="AI61" s="219"/>
      <c r="AJ61" s="203">
        <f t="shared" si="0"/>
        <v>0</v>
      </c>
    </row>
    <row r="62" spans="1:36" x14ac:dyDescent="0.2">
      <c r="AJ62" s="203">
        <f t="shared" si="0"/>
        <v>0</v>
      </c>
    </row>
    <row r="63" spans="1:36" x14ac:dyDescent="0.2">
      <c r="AJ63" s="203">
        <f t="shared" si="0"/>
        <v>0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899A7-9B06-4493-8503-4A356819B5D2}">
  <sheetPr>
    <tabColor rgb="FFFF0000"/>
  </sheetPr>
  <dimension ref="A1:AJ63"/>
  <sheetViews>
    <sheetView zoomScale="130" zoomScaleNormal="130" workbookViewId="0">
      <pane xSplit="4" ySplit="1" topLeftCell="E25" activePane="bottomRight" state="frozen"/>
      <selection pane="topRight" activeCell="E1" sqref="E1"/>
      <selection pane="bottomLeft" activeCell="A2" sqref="A2"/>
      <selection pane="bottomRight" activeCell="B46" sqref="B46"/>
    </sheetView>
  </sheetViews>
  <sheetFormatPr defaultRowHeight="11.25" x14ac:dyDescent="0.2"/>
  <cols>
    <col min="1" max="1" width="42.83203125" style="203" customWidth="1"/>
    <col min="2" max="4" width="9.33203125" style="203" customWidth="1"/>
    <col min="5" max="33" width="9.33203125" style="203"/>
    <col min="34" max="34" width="9.5" style="203" customWidth="1"/>
    <col min="35" max="16384" width="9.33203125" style="203"/>
  </cols>
  <sheetData>
    <row r="1" spans="1:36" x14ac:dyDescent="0.2">
      <c r="A1" s="199" t="s">
        <v>124</v>
      </c>
      <c r="B1" s="200" t="s">
        <v>172</v>
      </c>
      <c r="C1" s="201" t="s">
        <v>173</v>
      </c>
      <c r="D1" s="202" t="s">
        <v>174</v>
      </c>
      <c r="E1" s="197">
        <v>45901</v>
      </c>
      <c r="F1" s="197">
        <v>45902</v>
      </c>
      <c r="G1" s="197">
        <v>45903</v>
      </c>
      <c r="H1" s="197">
        <v>45904</v>
      </c>
      <c r="I1" s="197">
        <v>45905</v>
      </c>
      <c r="J1" s="197">
        <v>45906</v>
      </c>
      <c r="K1" s="197">
        <v>45907</v>
      </c>
      <c r="L1" s="197">
        <v>45908</v>
      </c>
      <c r="M1" s="197">
        <v>45909</v>
      </c>
      <c r="N1" s="197">
        <v>45910</v>
      </c>
      <c r="O1" s="197">
        <v>45911</v>
      </c>
      <c r="P1" s="197">
        <v>45912</v>
      </c>
      <c r="Q1" s="197">
        <v>45913</v>
      </c>
      <c r="R1" s="197">
        <v>45914</v>
      </c>
      <c r="S1" s="197">
        <v>45915</v>
      </c>
      <c r="T1" s="197">
        <v>45916</v>
      </c>
      <c r="U1" s="197">
        <v>45917</v>
      </c>
      <c r="V1" s="197">
        <v>45918</v>
      </c>
      <c r="W1" s="197">
        <v>45919</v>
      </c>
      <c r="X1" s="197">
        <v>45920</v>
      </c>
      <c r="Y1" s="197">
        <v>45921</v>
      </c>
      <c r="Z1" s="197">
        <v>45922</v>
      </c>
      <c r="AA1" s="197">
        <v>45923</v>
      </c>
      <c r="AB1" s="197">
        <v>45924</v>
      </c>
      <c r="AC1" s="197">
        <v>45925</v>
      </c>
      <c r="AD1" s="197">
        <v>45926</v>
      </c>
      <c r="AE1" s="197">
        <v>45927</v>
      </c>
      <c r="AF1" s="197">
        <v>45928</v>
      </c>
      <c r="AG1" s="197">
        <v>45929</v>
      </c>
      <c r="AH1" s="197">
        <v>45930</v>
      </c>
      <c r="AJ1" s="203" t="s">
        <v>218</v>
      </c>
    </row>
    <row r="2" spans="1:36" ht="17.25" customHeight="1" x14ac:dyDescent="0.2">
      <c r="A2" s="204" t="s">
        <v>158</v>
      </c>
      <c r="B2" s="205">
        <f>'Aug2025'!B2+1.25- (COUNTIF(E2:AH2, "VL") * 1) - (COUNTIF(E2:AH2, "HDL") * 0.5)</f>
        <v>8.25</v>
      </c>
      <c r="C2" s="206">
        <f>'Aug2025'!C2-COUNTIF(E2:AH2, "SL")-(COUNTIF(E2:AH2, "HDSL") * 0.5)</f>
        <v>0</v>
      </c>
      <c r="D2" s="207">
        <f>'Jun2025 '!D2-COUNTIF(E2:AH2, "SPL")</f>
        <v>0</v>
      </c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 t="s">
        <v>172</v>
      </c>
      <c r="AF2" s="208"/>
      <c r="AG2" s="220"/>
      <c r="AH2" s="208"/>
      <c r="AJ2" s="203">
        <f>COUNTIF(E2:AI2,"SL")</f>
        <v>0</v>
      </c>
    </row>
    <row r="3" spans="1:36" ht="17.25" customHeight="1" x14ac:dyDescent="0.2">
      <c r="A3" s="204" t="s">
        <v>160</v>
      </c>
      <c r="B3" s="205">
        <f>'Aug2025'!B3+1.25- (COUNTIF(E3:AH3, "VL") * 1) - (COUNTIF(E3:AH3, "HDL") * 0.5)</f>
        <v>13.25</v>
      </c>
      <c r="C3" s="206">
        <f>'Aug2025'!C3-COUNTIF(E3:AH3, "SL")-(COUNTIF(E3:AH3, "HDSL") * 0.5)</f>
        <v>0.5</v>
      </c>
      <c r="D3" s="207">
        <f>'Jun2025 '!D3-COUNTIF(E3:AH3, "SPL")</f>
        <v>0</v>
      </c>
      <c r="E3" s="208"/>
      <c r="F3" s="208"/>
      <c r="G3" s="208"/>
      <c r="H3" s="208"/>
      <c r="I3" s="208"/>
      <c r="J3" s="208"/>
      <c r="K3" s="208"/>
      <c r="L3" s="208"/>
      <c r="M3" s="208" t="s">
        <v>175</v>
      </c>
      <c r="N3" s="236" t="s">
        <v>172</v>
      </c>
      <c r="O3" s="208"/>
      <c r="P3" s="208"/>
      <c r="Q3" s="208"/>
      <c r="R3" s="208"/>
      <c r="S3" s="208"/>
      <c r="T3" s="208"/>
      <c r="U3" s="208" t="s">
        <v>172</v>
      </c>
      <c r="V3" s="208"/>
      <c r="W3" s="208"/>
      <c r="X3" s="208"/>
      <c r="Y3" s="208"/>
      <c r="Z3" s="216"/>
      <c r="AA3" s="216"/>
      <c r="AB3" s="216"/>
      <c r="AC3" s="216"/>
      <c r="AD3" s="216"/>
      <c r="AE3" s="208"/>
      <c r="AF3" s="208"/>
      <c r="AG3" s="220"/>
      <c r="AH3" s="208"/>
      <c r="AJ3" s="203">
        <f t="shared" ref="AJ3:AJ63" si="0">COUNTIF(E3:AI3,"SL")</f>
        <v>0</v>
      </c>
    </row>
    <row r="4" spans="1:36" ht="17.25" customHeight="1" x14ac:dyDescent="0.2">
      <c r="A4" s="204" t="s">
        <v>149</v>
      </c>
      <c r="B4" s="205">
        <f>'Aug2025'!B4+1.25- (COUNTIF(E4:AH4, "VL") * 1) - (COUNTIF(E4:AH4, "HDL") * 0.5)</f>
        <v>14</v>
      </c>
      <c r="C4" s="206">
        <f>'Aug2025'!C4-COUNTIF(E4:AH4, "SL")-(COUNTIF(E4:AH4, "HDSL") * 0.5)</f>
        <v>0</v>
      </c>
      <c r="D4" s="207">
        <f>'Jun2025 '!D4-COUNTIF(E4:AH4, "SPL")</f>
        <v>0</v>
      </c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18"/>
      <c r="X4" s="218"/>
      <c r="Y4" s="233"/>
      <c r="Z4" s="218"/>
      <c r="AA4" s="218"/>
      <c r="AB4" s="218"/>
      <c r="AC4" s="208"/>
      <c r="AD4" s="208"/>
      <c r="AE4" s="230"/>
      <c r="AF4" s="208"/>
      <c r="AG4" s="220"/>
      <c r="AH4" s="208"/>
      <c r="AJ4" s="203">
        <f t="shared" si="0"/>
        <v>0</v>
      </c>
    </row>
    <row r="5" spans="1:36" ht="17.25" customHeight="1" x14ac:dyDescent="0.2">
      <c r="A5" s="204" t="s">
        <v>142</v>
      </c>
      <c r="B5" s="205">
        <f>'Aug2025'!B5+1.25- (COUNTIF(E5:AH5, "VL") * 1) - (COUNTIF(E5:AH5, "HDL") * 0.5)</f>
        <v>8.75</v>
      </c>
      <c r="C5" s="206">
        <f>'Aug2025'!C5-COUNTIF(E5:AH5, "SL")-(COUNTIF(E5:AH5, "HDSL") * 0.5)</f>
        <v>0.5</v>
      </c>
      <c r="D5" s="207">
        <f>'Jun2025 '!D5-COUNTIF(E5:AH5, "SPL")</f>
        <v>0</v>
      </c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 t="s">
        <v>172</v>
      </c>
      <c r="V5" s="208"/>
      <c r="W5" s="218"/>
      <c r="X5" s="218"/>
      <c r="Y5" s="233"/>
      <c r="Z5" s="218"/>
      <c r="AA5" s="218"/>
      <c r="AB5" s="218"/>
      <c r="AC5" s="208"/>
      <c r="AD5" s="211"/>
      <c r="AE5" s="230"/>
      <c r="AF5" s="208"/>
      <c r="AG5" s="220"/>
      <c r="AH5" s="208"/>
      <c r="AJ5" s="203">
        <f t="shared" si="0"/>
        <v>0</v>
      </c>
    </row>
    <row r="6" spans="1:36" ht="17.25" customHeight="1" x14ac:dyDescent="0.2">
      <c r="A6" s="215" t="s">
        <v>356</v>
      </c>
      <c r="B6" s="205">
        <f>MIN('Aug2025'!B6 + 1.25, 15)- (COUNTIF(E6:AH6, "VL") * 1) - (COUNTIF(E6:AH6, "HDL") * 0.5)</f>
        <v>7.75</v>
      </c>
      <c r="C6" s="206">
        <f>MIN('Aug2025'!C6+0.416, 5)-COUNTIF(E6:AH6, "SL")-(COUNTIF(E6:AH6, "HDSL") * 0.5)</f>
        <v>1.9159999999999999</v>
      </c>
      <c r="D6" s="207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18"/>
      <c r="X6" s="218"/>
      <c r="Y6" s="233"/>
      <c r="Z6" s="218"/>
      <c r="AA6" s="218"/>
      <c r="AB6" s="218"/>
      <c r="AC6" s="208"/>
      <c r="AD6" s="211"/>
      <c r="AE6" s="230"/>
      <c r="AF6" s="208"/>
      <c r="AG6" s="220" t="s">
        <v>173</v>
      </c>
      <c r="AH6" s="208"/>
      <c r="AJ6" s="203">
        <f t="shared" si="0"/>
        <v>1</v>
      </c>
    </row>
    <row r="7" spans="1:36" ht="17.25" customHeight="1" x14ac:dyDescent="0.2">
      <c r="A7" s="204" t="s">
        <v>176</v>
      </c>
      <c r="B7" s="205">
        <f>'Aug2025'!B7+1.25- (COUNTIF(E7:AH7, "VL") * 1) - (COUNTIF(E7:AH7, "HDL") * 0.5)</f>
        <v>10.25</v>
      </c>
      <c r="C7" s="206">
        <f>'Aug2025'!C7-COUNTIF(E7:AH7, "SL")-(COUNTIF(E7:AH7, "HDSL") * 0.5)</f>
        <v>1</v>
      </c>
      <c r="D7" s="207">
        <f>'Jun2025 '!D6-COUNTIF(E7:AH7, "SPL")</f>
        <v>0</v>
      </c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 t="s">
        <v>173</v>
      </c>
      <c r="Q7" s="198"/>
      <c r="R7" s="198"/>
      <c r="S7" s="198"/>
      <c r="T7" s="198"/>
      <c r="U7" s="198"/>
      <c r="V7" s="198"/>
      <c r="W7" s="229"/>
      <c r="X7" s="229"/>
      <c r="Y7" s="229"/>
      <c r="Z7" s="234"/>
      <c r="AA7" s="234"/>
      <c r="AB7" s="234"/>
      <c r="AC7" s="235"/>
      <c r="AD7" s="235"/>
      <c r="AE7" s="198"/>
      <c r="AF7" s="198"/>
      <c r="AG7" s="221" t="s">
        <v>173</v>
      </c>
      <c r="AH7" s="198"/>
      <c r="AJ7" s="203">
        <f t="shared" si="0"/>
        <v>2</v>
      </c>
    </row>
    <row r="8" spans="1:36" ht="17.25" customHeight="1" x14ac:dyDescent="0.2">
      <c r="A8" s="209" t="s">
        <v>177</v>
      </c>
      <c r="B8" s="205">
        <f>'Aug2025'!B8+1.25- (COUNTIF(E8:AH8, "VL") * 1) - (COUNTIF(E8:AH8, "HDL") * 0.5)</f>
        <v>4</v>
      </c>
      <c r="C8" s="206">
        <f>'Aug2025'!C8-COUNTIF(E8:AH8, "SL")-(COUNTIF(E8:AH8, "HDSL") * 0.5)</f>
        <v>0</v>
      </c>
      <c r="D8" s="207">
        <f>'Jun2025 '!D7-COUNTIF(E8:AH8, "SPL")</f>
        <v>0</v>
      </c>
      <c r="E8" s="198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229"/>
      <c r="X8" s="229"/>
      <c r="Y8" s="229"/>
      <c r="Z8" s="229"/>
      <c r="AA8" s="229"/>
      <c r="AB8" s="229"/>
      <c r="AC8" s="198"/>
      <c r="AD8" s="198"/>
      <c r="AE8" s="198"/>
      <c r="AF8" s="198"/>
      <c r="AG8" s="221"/>
      <c r="AH8" s="198"/>
      <c r="AJ8" s="203">
        <f t="shared" si="0"/>
        <v>0</v>
      </c>
    </row>
    <row r="9" spans="1:36" ht="17.25" customHeight="1" x14ac:dyDescent="0.2">
      <c r="A9" s="209" t="s">
        <v>178</v>
      </c>
      <c r="B9" s="205">
        <f>'Aug2025'!B9+1.25- (COUNTIF(E9:AH9, "VL") * 1) - (COUNTIF(E9:AH9, "HDL") * 0.5)</f>
        <v>1.75</v>
      </c>
      <c r="C9" s="206">
        <f>'Aug2025'!C9-COUNTIF(E9:AH9, "SL")-(COUNTIF(E9:AH9, "HDSL") * 0.5)</f>
        <v>0</v>
      </c>
      <c r="D9" s="207">
        <f>'Jun2025 '!D8-COUNTIF(E9:AH9, "SPL")</f>
        <v>0</v>
      </c>
      <c r="E9" s="208"/>
      <c r="F9" s="208"/>
      <c r="G9" s="208" t="s">
        <v>173</v>
      </c>
      <c r="H9" s="208" t="s">
        <v>173</v>
      </c>
      <c r="I9" s="208" t="s">
        <v>173</v>
      </c>
      <c r="J9" s="208"/>
      <c r="K9" s="208"/>
      <c r="L9" s="208"/>
      <c r="M9" s="208" t="s">
        <v>173</v>
      </c>
      <c r="N9" s="208" t="s">
        <v>172</v>
      </c>
      <c r="O9" s="208" t="s">
        <v>172</v>
      </c>
      <c r="P9" s="208" t="s">
        <v>172</v>
      </c>
      <c r="Q9" s="208"/>
      <c r="R9" s="208"/>
      <c r="S9" s="208"/>
      <c r="T9" s="208"/>
      <c r="U9" s="208"/>
      <c r="V9" s="208"/>
      <c r="W9" s="218"/>
      <c r="X9" s="218"/>
      <c r="Y9" s="218"/>
      <c r="Z9" s="218"/>
      <c r="AA9" s="218"/>
      <c r="AB9" s="218"/>
      <c r="AC9" s="208"/>
      <c r="AD9" s="208"/>
      <c r="AE9" s="208"/>
      <c r="AF9" s="208"/>
      <c r="AG9" s="220"/>
      <c r="AH9" s="208"/>
      <c r="AJ9" s="203">
        <f t="shared" si="0"/>
        <v>4</v>
      </c>
    </row>
    <row r="10" spans="1:36" ht="17.25" customHeight="1" x14ac:dyDescent="0.2">
      <c r="A10" s="215" t="s">
        <v>364</v>
      </c>
      <c r="B10" s="205"/>
      <c r="C10" s="206"/>
      <c r="D10" s="207">
        <f>MIN(7)-COUNTIF(E10:AH10, "SPL")</f>
        <v>6</v>
      </c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 t="s">
        <v>174</v>
      </c>
      <c r="P10" s="208"/>
      <c r="Q10" s="208"/>
      <c r="R10" s="208"/>
      <c r="S10" s="208"/>
      <c r="T10" s="208"/>
      <c r="U10" s="208"/>
      <c r="V10" s="208"/>
      <c r="W10" s="218"/>
      <c r="X10" s="218"/>
      <c r="Y10" s="218"/>
      <c r="Z10" s="218"/>
      <c r="AA10" s="218"/>
      <c r="AB10" s="218"/>
      <c r="AC10" s="208"/>
      <c r="AD10" s="208"/>
      <c r="AE10" s="208"/>
      <c r="AF10" s="208"/>
      <c r="AG10" s="220"/>
      <c r="AH10" s="208"/>
      <c r="AJ10" s="203">
        <f t="shared" si="0"/>
        <v>0</v>
      </c>
    </row>
    <row r="11" spans="1:36" ht="17.25" customHeight="1" x14ac:dyDescent="0.2">
      <c r="A11" s="209" t="s">
        <v>332</v>
      </c>
      <c r="B11" s="205">
        <f>'Aug2025'!B10+1.25- (COUNTIF(E11:AH11, "VL") * 1) - (COUNTIF(E11:AH11, "HDL") * 0.5)</f>
        <v>2.75</v>
      </c>
      <c r="C11" s="206">
        <f>'Aug2025'!C10-COUNTIF(E11:AH11, "SL")-(COUNTIF(E11:AH11, "HDSL") * 0.5)</f>
        <v>0.91666666666666208</v>
      </c>
      <c r="D11" s="207">
        <f>'Jun2025 '!D9-COUNTIF(E11:AH11, "SPL")</f>
        <v>0</v>
      </c>
      <c r="E11" s="208"/>
      <c r="F11" s="208"/>
      <c r="G11" s="208"/>
      <c r="H11" s="208"/>
      <c r="I11" s="208"/>
      <c r="J11" s="208"/>
      <c r="K11" s="208"/>
      <c r="L11" s="208" t="s">
        <v>173</v>
      </c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18"/>
      <c r="X11" s="218"/>
      <c r="Y11" s="218"/>
      <c r="Z11" s="218"/>
      <c r="AA11" s="218"/>
      <c r="AB11" s="218"/>
      <c r="AC11" s="208"/>
      <c r="AD11" s="208"/>
      <c r="AE11" s="208"/>
      <c r="AF11" s="208"/>
      <c r="AG11" s="220"/>
      <c r="AH11" s="208"/>
      <c r="AJ11" s="203">
        <f t="shared" si="0"/>
        <v>1</v>
      </c>
    </row>
    <row r="12" spans="1:36" ht="17.25" customHeight="1" x14ac:dyDescent="0.2">
      <c r="A12" s="209" t="s">
        <v>162</v>
      </c>
      <c r="B12" s="205">
        <f>'Aug2025'!B11+1.25- (COUNTIF(E12:AH12, "VL") * 1) - (COUNTIF(E12:AH12, "HDL") * 0.5)</f>
        <v>13.5</v>
      </c>
      <c r="C12" s="206">
        <f>'Aug2025'!C11-COUNTIF(E12:AH12, "SL")-(COUNTIF(E12:AH12, "HDSL") * 0.5)</f>
        <v>5</v>
      </c>
      <c r="D12" s="207">
        <f>'Jun2025 '!D10-COUNTIF(E12:AH12, "SPL")</f>
        <v>0</v>
      </c>
      <c r="E12" s="208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18"/>
      <c r="X12" s="218"/>
      <c r="Y12" s="218"/>
      <c r="Z12" s="218"/>
      <c r="AA12" s="218"/>
      <c r="AB12" s="218"/>
      <c r="AC12" s="208"/>
      <c r="AD12" s="208"/>
      <c r="AE12" s="208"/>
      <c r="AF12" s="208"/>
      <c r="AG12" s="220"/>
      <c r="AH12" s="208"/>
      <c r="AJ12" s="203">
        <f t="shared" si="0"/>
        <v>0</v>
      </c>
    </row>
    <row r="13" spans="1:36" ht="17.25" customHeight="1" x14ac:dyDescent="0.2">
      <c r="A13" s="209" t="s">
        <v>347</v>
      </c>
      <c r="B13" s="205">
        <f>'Aug2025'!B12+1.25- (COUNTIF(E13:AH13, "VL") * 1) - (COUNTIF(E13:AH13, "HDL") * 0.5)</f>
        <v>13.75</v>
      </c>
      <c r="C13" s="206">
        <f>'Aug2025'!C12+0.416-COUNTIF(E13:AH13, "SL")-(COUNTIF(E13:AH13, "HDSL") * 0.5)</f>
        <v>3.5826666666666602</v>
      </c>
      <c r="D13" s="207">
        <f>'Jun2025 '!D11-COUNTIF(E13:AH13, "SPL")</f>
        <v>0</v>
      </c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18"/>
      <c r="X13" s="218"/>
      <c r="Y13" s="218"/>
      <c r="Z13" s="218"/>
      <c r="AA13" s="218"/>
      <c r="AB13" s="218"/>
      <c r="AC13" s="208"/>
      <c r="AD13" s="208"/>
      <c r="AE13" s="208"/>
      <c r="AF13" s="208"/>
      <c r="AG13" s="220"/>
      <c r="AH13" s="208"/>
      <c r="AJ13" s="203">
        <f t="shared" si="0"/>
        <v>0</v>
      </c>
    </row>
    <row r="14" spans="1:36" ht="17.25" customHeight="1" x14ac:dyDescent="0.2">
      <c r="A14" s="209" t="s">
        <v>179</v>
      </c>
      <c r="B14" s="205">
        <f>'Aug2025'!B13+1.25- (COUNTIF(E14:AH14, "VL") * 1) - (COUNTIF(E14:AH14, "HDL") * 0.5)</f>
        <v>7.75</v>
      </c>
      <c r="C14" s="206">
        <f>'Aug2025'!C13-COUNTIF(E14:AH14, "SL")-(COUNTIF(E14:AH14, "HDSL") * 0.5)</f>
        <v>3</v>
      </c>
      <c r="D14" s="207">
        <f>'Jun2025 '!D12-COUNTIF(E14:AH14, "SPL")</f>
        <v>0</v>
      </c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229"/>
      <c r="X14" s="229"/>
      <c r="Y14" s="229"/>
      <c r="Z14" s="229"/>
      <c r="AA14" s="229"/>
      <c r="AB14" s="229"/>
      <c r="AC14" s="198"/>
      <c r="AD14" s="198"/>
      <c r="AE14" s="198"/>
      <c r="AF14" s="198"/>
      <c r="AG14" s="221"/>
      <c r="AH14" s="198"/>
      <c r="AJ14" s="203">
        <f t="shared" si="0"/>
        <v>0</v>
      </c>
    </row>
    <row r="15" spans="1:36" ht="17.25" customHeight="1" x14ac:dyDescent="0.2">
      <c r="A15" s="209" t="s">
        <v>348</v>
      </c>
      <c r="B15" s="205">
        <f>'Aug2025'!B14+1.25- (COUNTIF(E15:AH15, "VL") * 1) - (COUNTIF(E15:AH15, "HDL") * 0.5)</f>
        <v>7.5</v>
      </c>
      <c r="C15" s="206">
        <f>'Aug2025'!C14+0.416-COUNTIF(E15:AH15, "SL")-(COUNTIF(E15:AH15, "HDSL") * 0.5)</f>
        <v>2.1639999999999957</v>
      </c>
      <c r="D15" s="207">
        <f>'Jun2025 '!D13-COUNTIF(E15:AH15, "SPL")</f>
        <v>0</v>
      </c>
      <c r="E15" s="198"/>
      <c r="F15" s="198"/>
      <c r="G15" s="198"/>
      <c r="H15" s="198"/>
      <c r="I15" s="198"/>
      <c r="J15" s="198"/>
      <c r="K15" s="198"/>
      <c r="L15" s="198"/>
      <c r="M15" s="198" t="s">
        <v>172</v>
      </c>
      <c r="N15" s="198"/>
      <c r="O15" s="198"/>
      <c r="P15" s="198"/>
      <c r="Q15" s="198"/>
      <c r="R15" s="198"/>
      <c r="S15" s="198"/>
      <c r="T15" s="198"/>
      <c r="U15" s="198"/>
      <c r="V15" s="198" t="s">
        <v>173</v>
      </c>
      <c r="W15" s="229"/>
      <c r="X15" s="229"/>
      <c r="Y15" s="229"/>
      <c r="Z15" s="229"/>
      <c r="AA15" s="229"/>
      <c r="AB15" s="229"/>
      <c r="AC15" s="198"/>
      <c r="AD15" s="198"/>
      <c r="AE15" s="198"/>
      <c r="AF15" s="198"/>
      <c r="AG15" s="221"/>
      <c r="AH15" s="198" t="s">
        <v>172</v>
      </c>
      <c r="AJ15" s="203">
        <f t="shared" si="0"/>
        <v>1</v>
      </c>
    </row>
    <row r="16" spans="1:36" ht="17.25" customHeight="1" x14ac:dyDescent="0.2">
      <c r="A16" s="209" t="s">
        <v>151</v>
      </c>
      <c r="B16" s="205">
        <f>'Aug2025'!B15+1.25- (COUNTIF(E16:AH16, "VL") * 1) - (COUNTIF(E16:AH16, "HDL") * 0.5)</f>
        <v>11.5</v>
      </c>
      <c r="C16" s="206">
        <f>'Aug2025'!C15-COUNTIF(E16:AH16, "SL")-(COUNTIF(E16:AH16, "HDSL") * 0.5)</f>
        <v>0.5</v>
      </c>
      <c r="D16" s="207">
        <f>'Jun2025 '!D14-COUNTIF(E16:AH16, "SPL")</f>
        <v>0</v>
      </c>
      <c r="E16" s="208"/>
      <c r="F16" s="208"/>
      <c r="G16" s="210" t="s">
        <v>172</v>
      </c>
      <c r="H16" s="208" t="s">
        <v>172</v>
      </c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 t="s">
        <v>172</v>
      </c>
      <c r="T16" s="208" t="s">
        <v>172</v>
      </c>
      <c r="U16" s="208" t="s">
        <v>172</v>
      </c>
      <c r="V16" s="208"/>
      <c r="W16" s="218"/>
      <c r="X16" s="218"/>
      <c r="Y16" s="218"/>
      <c r="Z16" s="218"/>
      <c r="AA16" s="218"/>
      <c r="AB16" s="218"/>
      <c r="AC16" s="208"/>
      <c r="AD16" s="208"/>
      <c r="AE16" s="208"/>
      <c r="AF16" s="208"/>
      <c r="AG16" s="220"/>
      <c r="AH16" s="208"/>
      <c r="AJ16" s="203">
        <f t="shared" si="0"/>
        <v>0</v>
      </c>
    </row>
    <row r="17" spans="1:36" ht="17.25" customHeight="1" x14ac:dyDescent="0.2">
      <c r="A17" s="228" t="s">
        <v>180</v>
      </c>
      <c r="B17" s="205">
        <f>'Jul2025'!B15+1.25- (COUNTIF(E17:AH17, "VL") * 1) - (COUNTIF(E17:AH17, "HDL") * 0.5)</f>
        <v>11.5</v>
      </c>
      <c r="C17" s="206">
        <f>'May2025 '!C15-COUNTIF(E17:AH17, "SL")-(COUNTIF(E17:AH17, "HDSL") * 0.5)</f>
        <v>5</v>
      </c>
      <c r="D17" s="207">
        <f>'Jun2025 '!D15-COUNTIF(E17:AH17, "SPL")</f>
        <v>0</v>
      </c>
      <c r="E17" s="208"/>
      <c r="F17" s="208"/>
      <c r="G17" s="208"/>
      <c r="H17" s="208"/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18"/>
      <c r="X17" s="218"/>
      <c r="Y17" s="218"/>
      <c r="Z17" s="218"/>
      <c r="AA17" s="218"/>
      <c r="AB17" s="218"/>
      <c r="AC17" s="208"/>
      <c r="AD17" s="208"/>
      <c r="AE17" s="208"/>
      <c r="AF17" s="208"/>
      <c r="AG17" s="220"/>
      <c r="AH17" s="208"/>
      <c r="AJ17" s="203">
        <f t="shared" si="0"/>
        <v>0</v>
      </c>
    </row>
    <row r="18" spans="1:36" ht="17.25" customHeight="1" x14ac:dyDescent="0.2">
      <c r="A18" s="209" t="s">
        <v>181</v>
      </c>
      <c r="B18" s="205">
        <f>'Aug2025'!B17+1.25- (COUNTIF(E18:AH18, "VL") * 1) - (COUNTIF(E18:AH18, "HDL") * 0.5)</f>
        <v>7.75</v>
      </c>
      <c r="C18" s="206">
        <f>'Aug2025'!C17-COUNTIF(E18:AH18, "SL")-(COUNTIF(E18:AH18, "HDSL") * 0.5)</f>
        <v>0</v>
      </c>
      <c r="D18" s="207">
        <f>'Jun2025 '!D16-COUNTIF(E18:AH18, "SPL")</f>
        <v>0</v>
      </c>
      <c r="E18" s="208"/>
      <c r="F18" s="208"/>
      <c r="G18" s="208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18"/>
      <c r="X18" s="218"/>
      <c r="Y18" s="218"/>
      <c r="Z18" s="218"/>
      <c r="AA18" s="218"/>
      <c r="AB18" s="218"/>
      <c r="AC18" s="208"/>
      <c r="AD18" s="208"/>
      <c r="AE18" s="208"/>
      <c r="AF18" s="208"/>
      <c r="AG18" s="220"/>
      <c r="AH18" s="208"/>
      <c r="AJ18" s="203">
        <f t="shared" si="0"/>
        <v>0</v>
      </c>
    </row>
    <row r="19" spans="1:36" ht="17.25" customHeight="1" x14ac:dyDescent="0.2">
      <c r="A19" s="209" t="s">
        <v>221</v>
      </c>
      <c r="B19" s="205">
        <f>'Aug2025'!B18+1.25- (COUNTIF(E19:AH19, "VL") * 1) - (COUNTIF(E19:AH19, "HDL") * 0.5)</f>
        <v>8.75</v>
      </c>
      <c r="C19" s="206">
        <f>'Aug2025'!C18-COUNTIF(E19:AH19, "SL")-(COUNTIF(E19:AH19, "HDSL") * 0.5)</f>
        <v>1.9953333333333303</v>
      </c>
      <c r="D19" s="207">
        <f>'Jun2025 '!D17-COUNTIF(E19:AH19, "SPL")</f>
        <v>0</v>
      </c>
      <c r="E19" s="208" t="s">
        <v>172</v>
      </c>
      <c r="F19" s="208"/>
      <c r="G19" s="208"/>
      <c r="H19" s="208"/>
      <c r="I19" s="208"/>
      <c r="J19" s="208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18"/>
      <c r="X19" s="218"/>
      <c r="Y19" s="218"/>
      <c r="Z19" s="218"/>
      <c r="AA19" s="218"/>
      <c r="AB19" s="218"/>
      <c r="AC19" s="208"/>
      <c r="AD19" s="208"/>
      <c r="AE19" s="208"/>
      <c r="AF19" s="208"/>
      <c r="AG19" s="222"/>
      <c r="AH19" s="211"/>
      <c r="AJ19" s="203">
        <f t="shared" si="0"/>
        <v>0</v>
      </c>
    </row>
    <row r="20" spans="1:36" ht="17.25" customHeight="1" x14ac:dyDescent="0.2">
      <c r="A20" s="209" t="s">
        <v>152</v>
      </c>
      <c r="B20" s="205">
        <f>'Aug2025'!B19+1.25- (COUNTIF(E20:AH20, "VL") * 1) - (COUNTIF(E20:AH20, "HDL") * 0.5)</f>
        <v>10.375</v>
      </c>
      <c r="C20" s="206">
        <f>'Aug2025'!C19-COUNTIF(E20:AH20, "SL")-(COUNTIF(E20:AH20, "HDSL") * 0.5)</f>
        <v>2</v>
      </c>
      <c r="D20" s="207">
        <f>'Jun2025 '!D18-COUNTIF(E20:AH20, "SPL")</f>
        <v>0</v>
      </c>
      <c r="E20" s="208"/>
      <c r="F20" s="208"/>
      <c r="G20" s="208"/>
      <c r="H20" s="208"/>
      <c r="I20" s="208"/>
      <c r="J20" s="208"/>
      <c r="K20" s="208"/>
      <c r="L20" s="208"/>
      <c r="M20" s="208"/>
      <c r="N20" s="208"/>
      <c r="O20" s="208"/>
      <c r="P20" s="208"/>
      <c r="Q20" s="208"/>
      <c r="R20" s="208"/>
      <c r="S20" s="208" t="s">
        <v>172</v>
      </c>
      <c r="T20" s="208"/>
      <c r="U20" s="208"/>
      <c r="V20" s="208"/>
      <c r="W20" s="218"/>
      <c r="X20" s="218"/>
      <c r="Y20" s="218"/>
      <c r="Z20" s="218"/>
      <c r="AA20" s="218"/>
      <c r="AB20" s="218"/>
      <c r="AC20" s="208"/>
      <c r="AD20" s="208"/>
      <c r="AE20" s="208"/>
      <c r="AF20" s="208"/>
      <c r="AG20" s="220"/>
      <c r="AH20" s="208"/>
      <c r="AJ20" s="203">
        <f t="shared" si="0"/>
        <v>0</v>
      </c>
    </row>
    <row r="21" spans="1:36" ht="17.25" customHeight="1" x14ac:dyDescent="0.2">
      <c r="A21" s="209" t="s">
        <v>170</v>
      </c>
      <c r="B21" s="205">
        <f>'Aug2025'!B20+1.25- (COUNTIF(E21:AH21, "VL") * 1) - (COUNTIF(E21:AH21, "HDL") * 0.5)</f>
        <v>5.25</v>
      </c>
      <c r="C21" s="206">
        <f>'Aug2025'!C20-COUNTIF(E21:AH21, "SL")-(COUNTIF(E21:AH21, "HDSL") * 0.5)</f>
        <v>0</v>
      </c>
      <c r="D21" s="207">
        <f>'Jun2025 '!D19-COUNTIF(E21:AH21, "SPL")</f>
        <v>0</v>
      </c>
      <c r="E21" s="208" t="s">
        <v>172</v>
      </c>
      <c r="F21" s="208"/>
      <c r="G21" s="208"/>
      <c r="H21" s="208"/>
      <c r="I21" s="208"/>
      <c r="J21" s="208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18"/>
      <c r="X21" s="218"/>
      <c r="Y21" s="218"/>
      <c r="Z21" s="218"/>
      <c r="AA21" s="218"/>
      <c r="AB21" s="218"/>
      <c r="AC21" s="208" t="s">
        <v>172</v>
      </c>
      <c r="AD21" s="208"/>
      <c r="AE21" s="208"/>
      <c r="AF21" s="208"/>
      <c r="AG21" s="220"/>
      <c r="AH21" s="208"/>
      <c r="AJ21" s="203">
        <f t="shared" si="0"/>
        <v>0</v>
      </c>
    </row>
    <row r="22" spans="1:36" ht="17.25" customHeight="1" x14ac:dyDescent="0.2">
      <c r="A22" s="212" t="s">
        <v>334</v>
      </c>
      <c r="B22" s="205">
        <f>'Aug2025'!B21+1.25- (COUNTIF(E22:AH22, "VL") * 1) - (COUNTIF(E22:AH22, "HDL") * 0.5)</f>
        <v>11.75</v>
      </c>
      <c r="C22" s="206">
        <f>'Aug2025'!C21-COUNTIF(E22:AH22, "SL")-(COUNTIF(E22:AH22, "HDSL") * 0.5)</f>
        <v>1.1666666666666603</v>
      </c>
      <c r="D22" s="207">
        <f>'Jun2025 '!D20-COUNTIF(E22:AH22, "SPL")</f>
        <v>0</v>
      </c>
      <c r="E22" s="208"/>
      <c r="F22" s="208"/>
      <c r="G22" s="208"/>
      <c r="H22" s="208"/>
      <c r="I22" s="208"/>
      <c r="J22" s="208"/>
      <c r="K22" s="208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18"/>
      <c r="X22" s="218"/>
      <c r="Y22" s="218"/>
      <c r="Z22" s="218"/>
      <c r="AA22" s="218"/>
      <c r="AB22" s="218"/>
      <c r="AC22" s="208"/>
      <c r="AD22" s="208"/>
      <c r="AE22" s="208"/>
      <c r="AF22" s="208"/>
      <c r="AG22" s="220"/>
      <c r="AH22" s="208"/>
      <c r="AJ22" s="203">
        <f t="shared" si="0"/>
        <v>0</v>
      </c>
    </row>
    <row r="23" spans="1:36" ht="17.25" customHeight="1" x14ac:dyDescent="0.2">
      <c r="A23" s="209" t="s">
        <v>145</v>
      </c>
      <c r="B23" s="205">
        <f>'Aug2025'!B22+1.25- (COUNTIF(E23:AH23, "VL") * 1) - (COUNTIF(E23:AH23, "HDL") * 0.5)</f>
        <v>5</v>
      </c>
      <c r="C23" s="206">
        <f>'Aug2025'!C22-COUNTIF(E23:AH23, "SL")-(COUNTIF(E23:AH23, "HDSL") * 0.5)</f>
        <v>0</v>
      </c>
      <c r="D23" s="207">
        <f>'Jun2025 '!D21-COUNTIF(E23:AH23, "SPL")</f>
        <v>0</v>
      </c>
      <c r="E23" s="208"/>
      <c r="F23" s="208"/>
      <c r="G23" s="208"/>
      <c r="H23" s="208"/>
      <c r="I23" s="208"/>
      <c r="J23" s="208"/>
      <c r="K23" s="208"/>
      <c r="L23" s="208" t="s">
        <v>173</v>
      </c>
      <c r="M23" s="208"/>
      <c r="N23" s="208"/>
      <c r="O23" s="208"/>
      <c r="P23" s="208"/>
      <c r="Q23" s="208"/>
      <c r="R23" s="208"/>
      <c r="S23" s="208"/>
      <c r="T23" s="208"/>
      <c r="U23" s="208" t="s">
        <v>172</v>
      </c>
      <c r="V23" s="208" t="s">
        <v>172</v>
      </c>
      <c r="W23" s="218"/>
      <c r="X23" s="218"/>
      <c r="Y23" s="218"/>
      <c r="Z23" s="218"/>
      <c r="AA23" s="218"/>
      <c r="AB23" s="218"/>
      <c r="AC23" s="208"/>
      <c r="AD23" s="208"/>
      <c r="AE23" s="208"/>
      <c r="AF23" s="208"/>
      <c r="AG23" s="220"/>
      <c r="AH23" s="208"/>
      <c r="AJ23" s="203">
        <f t="shared" si="0"/>
        <v>1</v>
      </c>
    </row>
    <row r="24" spans="1:36" ht="17.25" customHeight="1" x14ac:dyDescent="0.2">
      <c r="A24" s="215" t="s">
        <v>357</v>
      </c>
      <c r="B24" s="205">
        <f>MIN('Aug2025'!B23+1.25)- (COUNTIF(E24:AH24, "VL") * 1) - (COUNTIF(E24:AH24, "HDL") * 0.5)</f>
        <v>7.75</v>
      </c>
      <c r="C24" s="206">
        <f>MIN('Aug2025'!C23+0.416)-COUNTIF(E24:AH24, "SL")-(COUNTIF(E24:AH24, "HDSL") * 0.5)</f>
        <v>2.9159999999999999</v>
      </c>
      <c r="D24" s="207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18"/>
      <c r="X24" s="218"/>
      <c r="Y24" s="218"/>
      <c r="Z24" s="218"/>
      <c r="AA24" s="218"/>
      <c r="AB24" s="218"/>
      <c r="AC24" s="208"/>
      <c r="AD24" s="208"/>
      <c r="AE24" s="208"/>
      <c r="AF24" s="208"/>
      <c r="AG24" s="220"/>
      <c r="AH24" s="208"/>
      <c r="AJ24" s="203">
        <f t="shared" si="0"/>
        <v>0</v>
      </c>
    </row>
    <row r="25" spans="1:36" ht="17.25" customHeight="1" x14ac:dyDescent="0.2">
      <c r="A25" s="209" t="s">
        <v>349</v>
      </c>
      <c r="B25" s="205">
        <f>'Aug2025'!B24+1.25- (COUNTIF(E25:AH25, "VL") * 1) - (COUNTIF(E25:AH25, "HDL") * 0.5)</f>
        <v>10.5</v>
      </c>
      <c r="C25" s="206">
        <f>'Aug2025'!C24+0.416-COUNTIF(E25:AH25, "SL")-(COUNTIF(E25:AH25, "HDSL") * 0.5)</f>
        <v>3.1639999999999957</v>
      </c>
      <c r="D25" s="207">
        <f>'Jun2025 '!D22-COUNTIF(E25:AH25, "SPL")</f>
        <v>0</v>
      </c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18"/>
      <c r="X25" s="218" t="s">
        <v>172</v>
      </c>
      <c r="Y25" s="218"/>
      <c r="Z25" s="218"/>
      <c r="AA25" s="218"/>
      <c r="AB25" s="218"/>
      <c r="AC25" s="208"/>
      <c r="AD25" s="208"/>
      <c r="AE25" s="208"/>
      <c r="AF25" s="208"/>
      <c r="AG25" s="220"/>
      <c r="AH25" s="208"/>
      <c r="AJ25" s="203">
        <f t="shared" si="0"/>
        <v>0</v>
      </c>
    </row>
    <row r="26" spans="1:36" ht="17.25" customHeight="1" x14ac:dyDescent="0.2">
      <c r="A26" s="209" t="s">
        <v>150</v>
      </c>
      <c r="B26" s="205">
        <f>'Aug2025'!B25+1.25- (COUNTIF(E26:AH26, "VL") * 1) - (COUNTIF(E26:AH26, "HDL") * 0.5)</f>
        <v>4.5</v>
      </c>
      <c r="C26" s="206">
        <f>'Aug2025'!C25-COUNTIF(E25:AH25, "SL")-(COUNTIF(E25:AH25, "HDSL") * 0.5)</f>
        <v>0</v>
      </c>
      <c r="D26" s="207">
        <f>'Jun2025 '!D23-COUNTIF(E26:AH26, "SPL")</f>
        <v>0</v>
      </c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198"/>
      <c r="Q26" s="208"/>
      <c r="R26" s="208"/>
      <c r="S26" s="208"/>
      <c r="T26" s="208"/>
      <c r="U26" s="208"/>
      <c r="V26" s="208"/>
      <c r="W26" s="218"/>
      <c r="X26" s="218"/>
      <c r="Y26" s="218"/>
      <c r="Z26" s="218"/>
      <c r="AA26" s="218" t="s">
        <v>172</v>
      </c>
      <c r="AB26" s="218"/>
      <c r="AC26" s="208"/>
      <c r="AD26" s="208"/>
      <c r="AE26" s="208"/>
      <c r="AF26" s="208" t="s">
        <v>172</v>
      </c>
      <c r="AG26" s="220"/>
      <c r="AH26" s="208"/>
      <c r="AJ26" s="203">
        <f t="shared" si="0"/>
        <v>0</v>
      </c>
    </row>
    <row r="27" spans="1:36" ht="17.25" customHeight="1" x14ac:dyDescent="0.2">
      <c r="A27" s="247" t="s">
        <v>147</v>
      </c>
      <c r="B27" s="205">
        <f>'Jun2025 '!B24+1.25- (COUNTIF(E27:AH27, "VL") * 1) - (COUNTIF(E27:AH27, "HDL") * 0.5)</f>
        <v>6.75</v>
      </c>
      <c r="C27" s="206">
        <f>'Jun2025 '!C24-COUNTIF(E27:AH27, "SL")-(COUNTIF(E27:AH27, "HDSL") * 0.5)</f>
        <v>5</v>
      </c>
      <c r="D27" s="207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198"/>
      <c r="Q27" s="208"/>
      <c r="R27" s="208"/>
      <c r="S27" s="208"/>
      <c r="T27" s="208"/>
      <c r="U27" s="208"/>
      <c r="V27" s="208"/>
      <c r="W27" s="218"/>
      <c r="X27" s="218"/>
      <c r="Y27" s="218"/>
      <c r="Z27" s="218"/>
      <c r="AA27" s="218"/>
      <c r="AB27" s="218"/>
      <c r="AC27" s="208"/>
      <c r="AD27" s="208"/>
      <c r="AE27" s="208"/>
      <c r="AF27" s="208"/>
      <c r="AG27" s="220"/>
      <c r="AH27" s="208"/>
      <c r="AJ27" s="203">
        <f t="shared" si="0"/>
        <v>0</v>
      </c>
    </row>
    <row r="28" spans="1:36" ht="17.25" customHeight="1" x14ac:dyDescent="0.2">
      <c r="A28" s="209" t="s">
        <v>168</v>
      </c>
      <c r="B28" s="205">
        <f>'Aug2025'!B27+1.25- (COUNTIF(E28:AH28, "VL") * 1) - (COUNTIF(E28:AH28, "HDL") * 0.5)</f>
        <v>2.25</v>
      </c>
      <c r="C28" s="206">
        <f>'Aug2025'!C27-COUNTIF(E28:AH28, "SL")-(COUNTIF(E28:AH28, "HDSL") * 0.5)</f>
        <v>0</v>
      </c>
      <c r="D28" s="207">
        <f>'Jun2025 '!D25-COUNTIF(E28:AH28, "SPL")</f>
        <v>0</v>
      </c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18"/>
      <c r="X28" s="218"/>
      <c r="Y28" s="218"/>
      <c r="Z28" s="218"/>
      <c r="AA28" s="218"/>
      <c r="AB28" s="218"/>
      <c r="AC28" s="208"/>
      <c r="AD28" s="208"/>
      <c r="AE28" s="208"/>
      <c r="AF28" s="208"/>
      <c r="AG28" s="220"/>
      <c r="AH28" s="208"/>
      <c r="AJ28" s="203">
        <f t="shared" si="0"/>
        <v>0</v>
      </c>
    </row>
    <row r="29" spans="1:36" ht="17.25" customHeight="1" x14ac:dyDescent="0.2">
      <c r="A29" s="209" t="s">
        <v>156</v>
      </c>
      <c r="B29" s="205">
        <f>'Aug2025'!B28+1.25- (COUNTIF(E29:AH29, "VL") * 1) - (COUNTIF(E29:AH29, "HDL") * 0.5)</f>
        <v>6</v>
      </c>
      <c r="C29" s="206">
        <f>'Aug2025'!C28-COUNTIF(E29:AH29, "SL")-(COUNTIF(E29:AH29, "HDSL") * 0.5)</f>
        <v>0</v>
      </c>
      <c r="D29" s="207">
        <f>'Jun2025 '!D26-COUNTIF(E29:AH29, "SPL")</f>
        <v>0</v>
      </c>
      <c r="E29" s="208"/>
      <c r="F29" s="208"/>
      <c r="G29" s="208"/>
      <c r="H29" s="208" t="s">
        <v>173</v>
      </c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18"/>
      <c r="X29" s="218"/>
      <c r="Y29" s="218"/>
      <c r="Z29" s="218"/>
      <c r="AA29" s="218"/>
      <c r="AB29" s="218"/>
      <c r="AC29" s="208"/>
      <c r="AD29" s="208"/>
      <c r="AE29" s="208"/>
      <c r="AF29" s="208"/>
      <c r="AG29" s="220"/>
      <c r="AH29" s="208"/>
      <c r="AJ29" s="203">
        <f t="shared" si="0"/>
        <v>1</v>
      </c>
    </row>
    <row r="30" spans="1:36" ht="17.25" customHeight="1" x14ac:dyDescent="0.2">
      <c r="A30" s="209" t="s">
        <v>183</v>
      </c>
      <c r="B30" s="205">
        <f>'Aug2025'!B29+1.25- (COUNTIF(E30:AH30, "VL") * 1) - (COUNTIF(E30:AH30, "HDL") * 0.5)</f>
        <v>4.25</v>
      </c>
      <c r="C30" s="206">
        <f>'Aug2025'!C29-COUNTIF(E30:AH30, "SL")-(COUNTIF(E30:AH30, "HDSL") * 0.5)</f>
        <v>0</v>
      </c>
      <c r="D30" s="207">
        <f>'Jun2025 '!D27-COUNTIF(E30:AH30, "SPL")</f>
        <v>4</v>
      </c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18"/>
      <c r="X30" s="218"/>
      <c r="Y30" s="218"/>
      <c r="Z30" s="218"/>
      <c r="AA30" s="218"/>
      <c r="AB30" s="218"/>
      <c r="AC30" s="208"/>
      <c r="AD30" s="208"/>
      <c r="AE30" s="208"/>
      <c r="AF30" s="208"/>
      <c r="AG30" s="220"/>
      <c r="AH30" s="208"/>
      <c r="AJ30" s="203">
        <f t="shared" si="0"/>
        <v>0</v>
      </c>
    </row>
    <row r="31" spans="1:36" ht="17.25" customHeight="1" x14ac:dyDescent="0.2">
      <c r="A31" s="209" t="s">
        <v>350</v>
      </c>
      <c r="B31" s="205">
        <f>'Aug2025'!B30+1.25- (COUNTIF(E31:AH31, "VL") * 1) - (COUNTIF(E31:AH31, "HDL") * 0.5)</f>
        <v>9.5</v>
      </c>
      <c r="C31" s="206">
        <f>'Aug2025'!C30+0.416-COUNTIF(E31:AH31, "SL")-(COUNTIF(E31:AH31, "HDSL") * 0.5)</f>
        <v>3.7493333333333281</v>
      </c>
      <c r="D31" s="207">
        <f>'Jun2025 '!D28-COUNTIF(E31:AH31, "SPL")</f>
        <v>0</v>
      </c>
      <c r="E31" s="208"/>
      <c r="F31" s="208"/>
      <c r="G31" s="208"/>
      <c r="H31" s="208"/>
      <c r="I31" s="208"/>
      <c r="J31" s="208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18"/>
      <c r="X31" s="218"/>
      <c r="Y31" s="218"/>
      <c r="Z31" s="218"/>
      <c r="AA31" s="218"/>
      <c r="AB31" s="218" t="s">
        <v>172</v>
      </c>
      <c r="AC31" s="208" t="s">
        <v>172</v>
      </c>
      <c r="AD31" s="208" t="s">
        <v>172</v>
      </c>
      <c r="AE31" s="208"/>
      <c r="AF31" s="208"/>
      <c r="AG31" s="220"/>
      <c r="AH31" s="208"/>
      <c r="AJ31" s="203">
        <f t="shared" si="0"/>
        <v>0</v>
      </c>
    </row>
    <row r="32" spans="1:36" ht="17.25" customHeight="1" x14ac:dyDescent="0.2">
      <c r="A32" s="209" t="s">
        <v>146</v>
      </c>
      <c r="B32" s="205">
        <f>'Aug2025'!B31+1.25- (COUNTIF(E32:AH32, "VL") * 1) - (COUNTIF(E32:AH32, "HDL") * 0.5)</f>
        <v>6.75</v>
      </c>
      <c r="C32" s="206">
        <f>'Aug2025'!C31-COUNTIF(E32:AH32, "SL")-(COUNTIF(E32:AH32, "HDSL") * 0.5)</f>
        <v>0</v>
      </c>
      <c r="D32" s="207">
        <f>'Jun2025 '!D29-COUNTIF(E32:AH32, "SPL")</f>
        <v>0</v>
      </c>
      <c r="E32" s="208"/>
      <c r="F32" s="236" t="s">
        <v>172</v>
      </c>
      <c r="G32" s="208"/>
      <c r="H32" s="208"/>
      <c r="I32" s="208"/>
      <c r="J32" s="208"/>
      <c r="K32" s="208"/>
      <c r="L32" s="208" t="s">
        <v>365</v>
      </c>
      <c r="M32" s="208" t="s">
        <v>365</v>
      </c>
      <c r="N32" s="218" t="s">
        <v>365</v>
      </c>
      <c r="O32" s="208" t="s">
        <v>172</v>
      </c>
      <c r="P32" s="208"/>
      <c r="Q32" s="208"/>
      <c r="R32" s="208"/>
      <c r="S32" s="208"/>
      <c r="T32" s="208"/>
      <c r="U32" s="208"/>
      <c r="V32" s="208"/>
      <c r="W32" s="218"/>
      <c r="X32" s="218"/>
      <c r="Y32" s="218"/>
      <c r="Z32" s="218"/>
      <c r="AA32" s="218"/>
      <c r="AB32" s="218"/>
      <c r="AC32" s="208"/>
      <c r="AD32" s="208"/>
      <c r="AE32" s="208"/>
      <c r="AF32" s="208"/>
      <c r="AG32" s="220" t="s">
        <v>172</v>
      </c>
      <c r="AH32" s="208"/>
      <c r="AJ32" s="203">
        <f t="shared" si="0"/>
        <v>0</v>
      </c>
    </row>
    <row r="33" spans="1:36" ht="17.25" customHeight="1" x14ac:dyDescent="0.2">
      <c r="A33" s="204" t="s">
        <v>184</v>
      </c>
      <c r="B33" s="205">
        <f>'Aug2025'!B32+1.25- (COUNTIF(E33:AH33, "VL") * 1) - (COUNTIF(E33:AH33, "HDL") * 0.5)</f>
        <v>3.75</v>
      </c>
      <c r="C33" s="206">
        <f>'Aug2025'!C32-COUNTIF(E33:AH33, "SL")-(COUNTIF(E33:AH33, "HDSL") * 0.5)</f>
        <v>0</v>
      </c>
      <c r="D33" s="207">
        <f>'Jun2025 '!D30-COUNTIF(E33:AH33, "SPL")</f>
        <v>0</v>
      </c>
      <c r="E33" s="208" t="s">
        <v>172</v>
      </c>
      <c r="F33" s="208"/>
      <c r="G33" s="208"/>
      <c r="H33" s="208"/>
      <c r="I33" s="208"/>
      <c r="J33" s="208"/>
      <c r="K33" s="208"/>
      <c r="L33" s="208"/>
      <c r="M33" s="208"/>
      <c r="N33" s="208" t="s">
        <v>172</v>
      </c>
      <c r="O33" s="208"/>
      <c r="P33" s="208"/>
      <c r="Q33" s="208"/>
      <c r="R33" s="208"/>
      <c r="S33" s="208"/>
      <c r="T33" s="208"/>
      <c r="U33" s="208"/>
      <c r="V33" s="208"/>
      <c r="W33" s="218"/>
      <c r="X33" s="218"/>
      <c r="Y33" s="218"/>
      <c r="Z33" s="218"/>
      <c r="AA33" s="218"/>
      <c r="AB33" s="218" t="s">
        <v>172</v>
      </c>
      <c r="AC33" s="208"/>
      <c r="AD33" s="208"/>
      <c r="AE33" s="208"/>
      <c r="AF33" s="208"/>
      <c r="AG33" s="220"/>
      <c r="AH33" s="208"/>
      <c r="AJ33" s="203">
        <f t="shared" si="0"/>
        <v>0</v>
      </c>
    </row>
    <row r="34" spans="1:36" ht="17.25" customHeight="1" x14ac:dyDescent="0.2">
      <c r="A34" s="213" t="s">
        <v>351</v>
      </c>
      <c r="B34" s="205">
        <f>'Aug2025'!B33+1.25- (COUNTIF(E34:AH34, "VL") * 1) - (COUNTIF(E34:AH34, "HDL") * 0.5)</f>
        <v>12</v>
      </c>
      <c r="C34" s="206">
        <f>'Aug2025'!C33+0.416-COUNTIF(E34:AH34, "SL")-(COUNTIF(E34:AH34, "HDSL") * 0.5)</f>
        <v>4.1659999999999942</v>
      </c>
      <c r="D34" s="207">
        <f>'Jun2025 '!D31-COUNTIF(E34:AH34, "SPL")</f>
        <v>0</v>
      </c>
      <c r="E34" s="208"/>
      <c r="F34" s="208"/>
      <c r="G34" s="208"/>
      <c r="H34" s="208"/>
      <c r="I34" s="208"/>
      <c r="J34" s="208"/>
      <c r="K34" s="208"/>
      <c r="L34" s="208"/>
      <c r="M34" s="208"/>
      <c r="N34" s="208"/>
      <c r="O34" s="208"/>
      <c r="P34" s="208"/>
      <c r="Q34" s="208"/>
      <c r="R34" s="208"/>
      <c r="S34" s="208"/>
      <c r="T34" s="208"/>
      <c r="U34" s="208"/>
      <c r="V34" s="208"/>
      <c r="W34" s="218"/>
      <c r="X34" s="218"/>
      <c r="Y34" s="218"/>
      <c r="Z34" s="218"/>
      <c r="AA34" s="218"/>
      <c r="AB34" s="218"/>
      <c r="AC34" s="208"/>
      <c r="AD34" s="208"/>
      <c r="AE34" s="208"/>
      <c r="AF34" s="208"/>
      <c r="AG34" s="220"/>
      <c r="AH34" s="208"/>
      <c r="AJ34" s="203">
        <f t="shared" si="0"/>
        <v>0</v>
      </c>
    </row>
    <row r="35" spans="1:36" ht="17.25" customHeight="1" x14ac:dyDescent="0.2">
      <c r="A35" s="212" t="s">
        <v>335</v>
      </c>
      <c r="B35" s="205">
        <f>'Aug2025'!B34+1.25- (COUNTIF(E35:AH35, "VL") * 1) - (COUNTIF(E35:AH35, "HDL") * 0.5)</f>
        <v>11.75</v>
      </c>
      <c r="C35" s="206">
        <f>'Aug2025'!C34+0.416-COUNTIF(E35:AH35, "SL")-(COUNTIF(E35:AH35, "HDSL") * 0.5)</f>
        <v>2.0826666666666602</v>
      </c>
      <c r="D35" s="207">
        <f>'Jun2025 '!D32-COUNTIF(E35:AH35, "SPL")</f>
        <v>0</v>
      </c>
      <c r="E35" s="208"/>
      <c r="F35" s="208"/>
      <c r="G35" s="208"/>
      <c r="H35" s="208"/>
      <c r="I35" s="208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18"/>
      <c r="X35" s="218"/>
      <c r="Y35" s="218"/>
      <c r="Z35" s="218"/>
      <c r="AA35" s="218"/>
      <c r="AB35" s="218"/>
      <c r="AC35" s="208"/>
      <c r="AD35" s="208"/>
      <c r="AE35" s="208"/>
      <c r="AF35" s="208"/>
      <c r="AG35" s="220"/>
      <c r="AH35" s="208"/>
      <c r="AJ35" s="203">
        <f t="shared" si="0"/>
        <v>0</v>
      </c>
    </row>
    <row r="36" spans="1:36" ht="17.25" customHeight="1" x14ac:dyDescent="0.2">
      <c r="A36" s="212" t="s">
        <v>336</v>
      </c>
      <c r="B36" s="205">
        <f>'Aug2025'!B35+1.25- (COUNTIF(E36:AH36, "VL") * 1) - (COUNTIF(E36:AH36, "HDL") * 0.5)</f>
        <v>11.75</v>
      </c>
      <c r="C36" s="206">
        <f>'Aug2025'!C35-COUNTIF(E36:AH36, "SL")-(COUNTIF(E36:AH36, "HDSL") * 0.5)</f>
        <v>1.1666666666666603</v>
      </c>
      <c r="D36" s="207">
        <f>'Jun2025 '!D33-COUNTIF(E36:AH36, "SPL")</f>
        <v>0</v>
      </c>
      <c r="E36" s="208"/>
      <c r="F36" s="208"/>
      <c r="G36" s="208"/>
      <c r="H36" s="208"/>
      <c r="I36" s="208"/>
      <c r="J36" s="208"/>
      <c r="K36" s="208"/>
      <c r="L36" s="208"/>
      <c r="M36" s="208"/>
      <c r="N36" s="208"/>
      <c r="O36" s="208"/>
      <c r="P36" s="208"/>
      <c r="Q36" s="208"/>
      <c r="R36" s="208"/>
      <c r="S36" s="208" t="s">
        <v>173</v>
      </c>
      <c r="T36" s="208"/>
      <c r="U36" s="208"/>
      <c r="V36" s="208"/>
      <c r="W36" s="218"/>
      <c r="X36" s="218"/>
      <c r="Y36" s="218"/>
      <c r="Z36" s="218"/>
      <c r="AA36" s="218"/>
      <c r="AB36" s="218"/>
      <c r="AC36" s="208"/>
      <c r="AD36" s="208"/>
      <c r="AE36" s="208"/>
      <c r="AF36" s="208"/>
      <c r="AG36" s="220"/>
      <c r="AH36" s="208"/>
      <c r="AJ36" s="203">
        <f t="shared" si="0"/>
        <v>1</v>
      </c>
    </row>
    <row r="37" spans="1:36" ht="17.25" customHeight="1" x14ac:dyDescent="0.2">
      <c r="A37" s="204" t="s">
        <v>157</v>
      </c>
      <c r="B37" s="205">
        <f>'Aug2025'!B36+1.25- (COUNTIF(E37:AH37, "VL") * 1) - (COUNTIF(E37:AH37, "HDL") * 0.5)</f>
        <v>4.5</v>
      </c>
      <c r="C37" s="206">
        <f>'Aug2025'!C36-COUNTIF(E37:AH37, "SL")-(COUNTIF(E37:AH37, "HDSL") * 0.5)</f>
        <v>0</v>
      </c>
      <c r="D37" s="207">
        <f>'Jun2025 '!D34-COUNTIF(E37:AH37, "SPL")</f>
        <v>0</v>
      </c>
      <c r="E37" s="236" t="s">
        <v>172</v>
      </c>
      <c r="F37" s="208"/>
      <c r="G37" s="208"/>
      <c r="H37" s="208"/>
      <c r="I37" s="208"/>
      <c r="J37" s="208"/>
      <c r="K37" s="208"/>
      <c r="L37" s="208"/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  <c r="AA37" s="208"/>
      <c r="AB37" s="208"/>
      <c r="AC37" s="208" t="s">
        <v>172</v>
      </c>
      <c r="AD37" s="208"/>
      <c r="AE37" s="208"/>
      <c r="AF37" s="208"/>
      <c r="AG37" s="220" t="s">
        <v>172</v>
      </c>
      <c r="AH37" s="208" t="s">
        <v>172</v>
      </c>
      <c r="AJ37" s="203">
        <f t="shared" si="0"/>
        <v>0</v>
      </c>
    </row>
    <row r="38" spans="1:36" ht="17.25" customHeight="1" x14ac:dyDescent="0.2">
      <c r="A38" s="204" t="s">
        <v>161</v>
      </c>
      <c r="B38" s="205">
        <f>'Aug2025'!B37+1.25- (COUNTIF(E38:AH38, "VL") * 1) - (COUNTIF(E38:AH38, "HDL") * 0.5)</f>
        <v>2.75</v>
      </c>
      <c r="C38" s="206">
        <f>'Aug2025'!C37-COUNTIF(E38:AH38, "SL")-(COUNTIF(E38:AH38, "HDSL") * 0.5)</f>
        <v>0</v>
      </c>
      <c r="D38" s="207">
        <f>'Jun2025 '!D35-COUNTIF(E38:AH38, "SPL")</f>
        <v>0</v>
      </c>
      <c r="E38" s="208"/>
      <c r="F38" s="208"/>
      <c r="G38" s="208"/>
      <c r="H38" s="208"/>
      <c r="I38" s="208"/>
      <c r="J38" s="208"/>
      <c r="K38" s="208"/>
      <c r="L38" s="208"/>
      <c r="M38" s="208"/>
      <c r="N38" s="208"/>
      <c r="O38" s="208"/>
      <c r="P38" s="208"/>
      <c r="Q38" s="208"/>
      <c r="R38" s="208"/>
      <c r="S38" s="208"/>
      <c r="T38" s="208" t="s">
        <v>172</v>
      </c>
      <c r="U38" s="208"/>
      <c r="V38" s="208"/>
      <c r="W38" s="208"/>
      <c r="X38" s="208"/>
      <c r="Y38" s="208"/>
      <c r="Z38" s="208"/>
      <c r="AA38" s="208"/>
      <c r="AB38" s="208"/>
      <c r="AC38" s="208"/>
      <c r="AD38" s="208"/>
      <c r="AE38" s="208"/>
      <c r="AF38" s="208"/>
      <c r="AG38" s="220"/>
      <c r="AH38" s="208"/>
      <c r="AJ38" s="203">
        <f t="shared" si="0"/>
        <v>0</v>
      </c>
    </row>
    <row r="39" spans="1:36" ht="17.25" customHeight="1" x14ac:dyDescent="0.2">
      <c r="A39" s="209" t="s">
        <v>338</v>
      </c>
      <c r="B39" s="205">
        <f>'Aug2025'!B38+1.25- (COUNTIF(E39:AH39, "VL") * 1) - (COUNTIF(E39:AH39, "HDL") * 0.5)</f>
        <v>11.75</v>
      </c>
      <c r="C39" s="206">
        <f>'Aug2025'!C38+0.416-COUNTIF(E39:AH39, "SL")-(COUNTIF(E39:AH39, "HDSL") * 0.5)</f>
        <v>2.0826666666666598</v>
      </c>
      <c r="D39" s="207">
        <f>'Jun2025 '!D36-COUNTIF(E39:AH39, "SPL")</f>
        <v>0</v>
      </c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08"/>
      <c r="AD39" s="208"/>
      <c r="AE39" s="208"/>
      <c r="AF39" s="208"/>
      <c r="AG39" s="220" t="s">
        <v>173</v>
      </c>
      <c r="AH39" s="208"/>
      <c r="AJ39" s="203">
        <f t="shared" si="0"/>
        <v>1</v>
      </c>
    </row>
    <row r="40" spans="1:36" ht="17.25" customHeight="1" x14ac:dyDescent="0.2">
      <c r="A40" s="209" t="s">
        <v>358</v>
      </c>
      <c r="B40" s="205">
        <f>MIN('Aug2025'!B39 + 1.25,15)- (COUNTIF(E40:AH40, "VL") * 1) - (COUNTIF(E40:AH40, "HDL") * 0.5)</f>
        <v>8.75</v>
      </c>
      <c r="C40" s="206">
        <f>MIN('Aug2025'!C39+ 0.42, 5)-COUNTIF(E40:AH40, "SL")-(COUNTIF(E40:AH40, "HDSL") * 0.5)</f>
        <v>2.92</v>
      </c>
      <c r="D40" s="207"/>
      <c r="E40" s="208"/>
      <c r="F40" s="208"/>
      <c r="G40" s="208"/>
      <c r="H40" s="208"/>
      <c r="I40" s="208"/>
      <c r="J40" s="208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  <c r="AA40" s="208"/>
      <c r="AB40" s="208"/>
      <c r="AC40" s="208"/>
      <c r="AD40" s="208"/>
      <c r="AE40" s="208"/>
      <c r="AF40" s="208"/>
      <c r="AG40" s="220"/>
      <c r="AH40" s="208"/>
      <c r="AJ40" s="203">
        <f t="shared" si="0"/>
        <v>0</v>
      </c>
    </row>
    <row r="41" spans="1:36" ht="17.25" customHeight="1" x14ac:dyDescent="0.2">
      <c r="A41" s="209" t="s">
        <v>167</v>
      </c>
      <c r="B41" s="205">
        <f>'Aug2025'!B40+1.25- (COUNTIF(E41:AH41, "VL") * 1) - (COUNTIF(E41:AH41, "HDL") * 0.5)</f>
        <v>14.5</v>
      </c>
      <c r="C41" s="206">
        <f>'Aug2025'!C40-COUNTIF(E41:AH41, "SL")-(COUNTIF(E41:AH41, "HDSL") * 0.5)</f>
        <v>0.5</v>
      </c>
      <c r="D41" s="207">
        <f>'Jun2025 '!D37-COUNTIF(E41:AH41, "SPL")</f>
        <v>0</v>
      </c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18"/>
      <c r="V41" s="218"/>
      <c r="W41" s="218"/>
      <c r="X41" s="218"/>
      <c r="Y41" s="208"/>
      <c r="Z41" s="208"/>
      <c r="AA41" s="208"/>
      <c r="AB41" s="208"/>
      <c r="AC41" s="208"/>
      <c r="AD41" s="208"/>
      <c r="AE41" s="208"/>
      <c r="AF41" s="208"/>
      <c r="AG41" s="220"/>
      <c r="AH41" s="208"/>
      <c r="AJ41" s="203">
        <f t="shared" si="0"/>
        <v>0</v>
      </c>
    </row>
    <row r="42" spans="1:36" ht="17.25" customHeight="1" x14ac:dyDescent="0.2">
      <c r="A42" s="209" t="s">
        <v>353</v>
      </c>
      <c r="B42" s="205">
        <f>'Aug2025'!B41+1.25- (COUNTIF(E42:AH42, "VL") * 1) - (COUNTIF(E42:AH42, "HDL") * 0.5)</f>
        <v>8.5</v>
      </c>
      <c r="C42" s="206">
        <f>'Aug2025'!C41+0.416-COUNTIF(E42:AH42, "SL")-(COUNTIF(E42:AH42, "HDSL") * 0.5)</f>
        <v>2.1659999999999942</v>
      </c>
      <c r="D42" s="207">
        <f>'Jun2025 '!D38-COUNTIF(E42:AH42, "SPL")</f>
        <v>0</v>
      </c>
      <c r="E42" s="208"/>
      <c r="F42" s="208"/>
      <c r="G42" s="20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  <c r="AA42" s="208"/>
      <c r="AB42" s="208"/>
      <c r="AC42" s="208"/>
      <c r="AD42" s="208"/>
      <c r="AE42" s="208"/>
      <c r="AF42" s="208"/>
      <c r="AG42" s="222"/>
      <c r="AH42" s="211"/>
      <c r="AJ42" s="203">
        <f t="shared" si="0"/>
        <v>0</v>
      </c>
    </row>
    <row r="43" spans="1:36" ht="17.25" customHeight="1" x14ac:dyDescent="0.2">
      <c r="A43" s="204" t="s">
        <v>159</v>
      </c>
      <c r="B43" s="205">
        <f>'Aug2025'!B42+1.25- (COUNTIF(E43:AH43, "VL") * 1) - (COUNTIF(E43:AH43, "HDL") * 0.5)</f>
        <v>9.25</v>
      </c>
      <c r="C43" s="206">
        <f>'Aug2025'!C42-COUNTIF(E43:AH43, "SL")-(COUNTIF(E43:AH43, "HDSL") * 0.5)</f>
        <v>0</v>
      </c>
      <c r="D43" s="207">
        <f>'Jun2025 '!D39-COUNTIF(E43:AH43, "SPL")</f>
        <v>0</v>
      </c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 t="s">
        <v>172</v>
      </c>
      <c r="Z43" s="208" t="s">
        <v>172</v>
      </c>
      <c r="AA43" s="208"/>
      <c r="AB43" s="208"/>
      <c r="AC43" s="208"/>
      <c r="AD43" s="208"/>
      <c r="AE43" s="208"/>
      <c r="AF43" s="208"/>
      <c r="AG43" s="220"/>
      <c r="AH43" s="208"/>
      <c r="AJ43" s="203">
        <f t="shared" si="0"/>
        <v>0</v>
      </c>
    </row>
    <row r="44" spans="1:36" ht="17.25" customHeight="1" x14ac:dyDescent="0.2">
      <c r="A44" s="204" t="s">
        <v>223</v>
      </c>
      <c r="B44" s="205">
        <f>'Aug2025'!B43+1.25- (COUNTIF(E44:AH44, "VL") * 1) - (COUNTIF(E44:AH44, "HDL") * 0.5)</f>
        <v>9.25</v>
      </c>
      <c r="C44" s="206">
        <f>'Aug2025'!C43-COUNTIF(E44:AH44, "SL")-(COUNTIF(E44:AH44, "HDSL") * 0.5)</f>
        <v>3.4959999999999964</v>
      </c>
      <c r="D44" s="207">
        <f>'Jun2025 '!D40-COUNTIF(E44:AH44, "SPL")</f>
        <v>0</v>
      </c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 t="s">
        <v>172</v>
      </c>
      <c r="Q44" s="208"/>
      <c r="R44" s="208"/>
      <c r="S44" s="208"/>
      <c r="T44" s="208"/>
      <c r="U44" s="208"/>
      <c r="V44" s="208"/>
      <c r="W44" s="208"/>
      <c r="X44" s="208"/>
      <c r="Y44" s="208"/>
      <c r="Z44" s="208"/>
      <c r="AA44" s="208"/>
      <c r="AB44" s="208"/>
      <c r="AC44" s="208"/>
      <c r="AD44" s="208"/>
      <c r="AE44" s="208"/>
      <c r="AF44" s="208"/>
      <c r="AG44" s="220"/>
      <c r="AH44" s="208"/>
      <c r="AJ44" s="203">
        <f t="shared" si="0"/>
        <v>0</v>
      </c>
    </row>
    <row r="45" spans="1:36" ht="17.25" customHeight="1" x14ac:dyDescent="0.2">
      <c r="A45" s="215" t="s">
        <v>359</v>
      </c>
      <c r="B45" s="205">
        <f>MIN('Aug2025'!B44 + 1.25)- (COUNTIF(E45:AH45, "VL") * 1) - (COUNTIF(E45:AH45, "HDL") * 0.5)</f>
        <v>8.75</v>
      </c>
      <c r="C45" s="206">
        <f>MIN('Aug2025'!C44 + 0.416)-COUNTIF(E45:AH45, "SL")-(COUNTIF(E45:AH45, "HDSL") * 0.5)</f>
        <v>2.9159999999999999</v>
      </c>
      <c r="D45" s="207"/>
      <c r="E45" s="208"/>
      <c r="F45" s="208"/>
      <c r="G45" s="208"/>
      <c r="H45" s="208"/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  <c r="AA45" s="208"/>
      <c r="AB45" s="208"/>
      <c r="AC45" s="208"/>
      <c r="AD45" s="208"/>
      <c r="AE45" s="208"/>
      <c r="AF45" s="208"/>
      <c r="AG45" s="220"/>
      <c r="AH45" s="208"/>
      <c r="AJ45" s="203">
        <f t="shared" si="0"/>
        <v>0</v>
      </c>
    </row>
    <row r="46" spans="1:36" ht="17.25" customHeight="1" x14ac:dyDescent="0.2">
      <c r="A46" s="204" t="s">
        <v>185</v>
      </c>
      <c r="B46" s="205">
        <f>'Aug2025'!B45+1.25- (COUNTIF(E46:AH46, "VL") * 1) - (COUNTIF(E46:AH46, "HDL") * 0.5)</f>
        <v>7.75</v>
      </c>
      <c r="C46" s="206">
        <f>'Aug2025'!C45-COUNTIF(E46:AH46, "SL")-(COUNTIF(E46:AH46, "HDSL") * 0.5)</f>
        <v>2</v>
      </c>
      <c r="D46" s="207">
        <f>'Jun2025 '!D41-COUNTIF(E46:AH46, "SPL")</f>
        <v>0</v>
      </c>
      <c r="E46" s="208"/>
      <c r="F46" s="208"/>
      <c r="G46" s="208"/>
      <c r="H46" s="208"/>
      <c r="I46" s="208"/>
      <c r="J46" s="208"/>
      <c r="K46" s="208"/>
      <c r="L46" s="208"/>
      <c r="M46" s="208"/>
      <c r="N46" s="208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  <c r="AA46" s="208"/>
      <c r="AB46" s="208"/>
      <c r="AC46" s="208"/>
      <c r="AD46" s="208"/>
      <c r="AE46" s="208"/>
      <c r="AF46" s="208"/>
      <c r="AG46" s="220"/>
      <c r="AH46" s="208"/>
      <c r="AJ46" s="203">
        <f t="shared" si="0"/>
        <v>0</v>
      </c>
    </row>
    <row r="47" spans="1:36" ht="15.75" customHeight="1" x14ac:dyDescent="0.2">
      <c r="A47" s="215" t="s">
        <v>360</v>
      </c>
      <c r="B47" s="205">
        <f>MIN('Aug2025'!B46+1.25)- (COUNTIF(E47:AH47, "VL") * 1) - (COUNTIF(E47:AH47, "HDL") * 0.5)</f>
        <v>6.75</v>
      </c>
      <c r="C47" s="206">
        <f>MIN('Aug2025'!C46 +0.416, 5)-COUNTIF(E47:AH47, "SL")-(COUNTIF(E47:AH47, "HDSL") * 0.5)</f>
        <v>0.91599999999999993</v>
      </c>
      <c r="D47" s="207"/>
      <c r="E47" s="208"/>
      <c r="F47" s="208"/>
      <c r="G47" s="208"/>
      <c r="H47" s="208"/>
      <c r="I47" s="208"/>
      <c r="J47" s="208"/>
      <c r="K47" s="208"/>
      <c r="L47" s="208"/>
      <c r="M47" s="208"/>
      <c r="N47" s="208"/>
      <c r="O47" s="208"/>
      <c r="P47" s="208"/>
      <c r="Q47" s="208"/>
      <c r="R47" s="208"/>
      <c r="S47" s="208" t="s">
        <v>173</v>
      </c>
      <c r="T47" s="208"/>
      <c r="U47" s="208"/>
      <c r="V47" s="208"/>
      <c r="W47" s="208"/>
      <c r="X47" s="208"/>
      <c r="Y47" s="208"/>
      <c r="Z47" s="208"/>
      <c r="AA47" s="208"/>
      <c r="AB47" s="208"/>
      <c r="AC47" s="208"/>
      <c r="AD47" s="208"/>
      <c r="AE47" s="208"/>
      <c r="AF47" s="208"/>
      <c r="AG47" s="220"/>
      <c r="AH47" s="208"/>
      <c r="AJ47" s="203">
        <f t="shared" si="0"/>
        <v>1</v>
      </c>
    </row>
    <row r="48" spans="1:36" ht="15.75" customHeight="1" x14ac:dyDescent="0.2">
      <c r="A48" s="204" t="s">
        <v>148</v>
      </c>
      <c r="B48" s="205">
        <f>'Aug2025'!B47+1.25- (COUNTIF(E48:AH48, "VL") * 1) - (COUNTIF(E48:AH48, "HDL") * 0.5)</f>
        <v>9.75</v>
      </c>
      <c r="C48" s="206">
        <f>'Aug2025'!C47-COUNTIF(E48:AH48, "SL")-(COUNTIF(E48:AH48, "HDSL") * 0.5)</f>
        <v>0.5</v>
      </c>
      <c r="D48" s="207">
        <f>'Jun2025 '!D42-COUNTIF(E48:AH48, "SPL")</f>
        <v>0</v>
      </c>
      <c r="E48" s="208"/>
      <c r="F48" s="208"/>
      <c r="G48" s="208"/>
      <c r="H48" s="208"/>
      <c r="I48" s="208"/>
      <c r="J48" s="208"/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/>
      <c r="W48" s="208"/>
      <c r="X48" s="208"/>
      <c r="Y48" s="208"/>
      <c r="Z48" s="208"/>
      <c r="AA48" s="208"/>
      <c r="AB48" s="208"/>
      <c r="AC48" s="208"/>
      <c r="AD48" s="208"/>
      <c r="AE48" s="208"/>
      <c r="AF48" s="208"/>
      <c r="AG48" s="220"/>
      <c r="AH48" s="208"/>
      <c r="AJ48" s="203">
        <f t="shared" si="0"/>
        <v>0</v>
      </c>
    </row>
    <row r="49" spans="1:36" ht="15.75" customHeight="1" x14ac:dyDescent="0.2">
      <c r="A49" s="228" t="s">
        <v>171</v>
      </c>
      <c r="B49" s="205">
        <f>'Aug2025'!B48+1.25- (COUNTIF(E49:AH49, "VL") * 1) - (COUNTIF(E49:AH49, "HDL") * 0.5)</f>
        <v>24</v>
      </c>
      <c r="C49" s="206">
        <f>'Aug2025'!C48-COUNTIF(E49:AH49, "SL")-(COUNTIF(E49:AH49, "HDSL") * 0.5)</f>
        <v>3</v>
      </c>
      <c r="D49" s="207">
        <f>'Jun2025 '!D43-COUNTIF(E49:AH49, "SPL")</f>
        <v>0</v>
      </c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/>
      <c r="AB49" s="208"/>
      <c r="AC49" s="208"/>
      <c r="AD49" s="208"/>
      <c r="AE49" s="208"/>
      <c r="AF49" s="208"/>
      <c r="AG49" s="220"/>
      <c r="AH49" s="208"/>
      <c r="AJ49" s="203">
        <f t="shared" si="0"/>
        <v>0</v>
      </c>
    </row>
    <row r="50" spans="1:36" ht="15.75" customHeight="1" x14ac:dyDescent="0.2">
      <c r="A50" s="204" t="s">
        <v>186</v>
      </c>
      <c r="B50" s="205">
        <f>'Aug2025'!B49+1.25- (COUNTIF(E50:AH50, "VL") * 1) - (COUNTIF(E50:AH50, "HDL") * 0.5)</f>
        <v>11.75</v>
      </c>
      <c r="C50" s="206">
        <f>'Aug2025'!C49-COUNTIF(E50:AH50, "SL")-(COUNTIF(E50:AH50, "HDSL") * 0.5)</f>
        <v>3.5</v>
      </c>
      <c r="D50" s="207">
        <f>'Jun2025 '!D44-COUNTIF(E50:AH50, "SPL")</f>
        <v>0</v>
      </c>
      <c r="E50" s="208"/>
      <c r="F50" s="208"/>
      <c r="G50" s="208"/>
      <c r="H50" s="208"/>
      <c r="I50" s="208"/>
      <c r="J50" s="208"/>
      <c r="K50" s="208"/>
      <c r="L50" s="208"/>
      <c r="M50" s="208"/>
      <c r="N50" s="208"/>
      <c r="O50" s="208"/>
      <c r="P50" s="208"/>
      <c r="Q50" s="208"/>
      <c r="R50" s="208"/>
      <c r="S50" s="208" t="s">
        <v>173</v>
      </c>
      <c r="T50" s="208"/>
      <c r="U50" s="208"/>
      <c r="V50" s="208"/>
      <c r="W50" s="208"/>
      <c r="X50" s="208"/>
      <c r="Y50" s="208"/>
      <c r="Z50" s="208"/>
      <c r="AA50" s="208"/>
      <c r="AB50" s="208"/>
      <c r="AC50" s="208"/>
      <c r="AD50" s="208"/>
      <c r="AE50" s="208"/>
      <c r="AF50" s="208"/>
      <c r="AG50" s="220"/>
      <c r="AH50" s="208"/>
      <c r="AJ50" s="203">
        <f t="shared" si="0"/>
        <v>1</v>
      </c>
    </row>
    <row r="51" spans="1:36" ht="15.75" customHeight="1" x14ac:dyDescent="0.2">
      <c r="A51" s="215" t="s">
        <v>361</v>
      </c>
      <c r="B51" s="205">
        <f>MIN('Aug2025'!B50 + 1.25,15)- (COUNTIF(E51:AH51, "VL") * 1) - (COUNTIF(E51:AH51, "HDL") * 0.5)</f>
        <v>3.75</v>
      </c>
      <c r="C51" s="206">
        <f>MIN('Aug2025'!C50 + 0.416, 5)-COUNTIF(E51:AH51, "SL")-(COUNTIF(E51:AH51, "HDSL") * 0.5)</f>
        <v>2.9159999999999999</v>
      </c>
      <c r="D51" s="207"/>
      <c r="E51" s="208"/>
      <c r="F51" s="208"/>
      <c r="G51" s="208"/>
      <c r="H51" s="208"/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 t="s">
        <v>172</v>
      </c>
      <c r="U51" s="208" t="s">
        <v>172</v>
      </c>
      <c r="V51" s="208" t="s">
        <v>172</v>
      </c>
      <c r="W51" s="208" t="s">
        <v>172</v>
      </c>
      <c r="X51" s="208" t="s">
        <v>172</v>
      </c>
      <c r="Y51" s="208"/>
      <c r="Z51" s="208"/>
      <c r="AA51" s="208"/>
      <c r="AB51" s="208"/>
      <c r="AC51" s="208"/>
      <c r="AD51" s="208"/>
      <c r="AE51" s="208"/>
      <c r="AF51" s="208"/>
      <c r="AG51" s="220"/>
      <c r="AH51" s="208"/>
      <c r="AJ51" s="203">
        <f t="shared" si="0"/>
        <v>0</v>
      </c>
    </row>
    <row r="52" spans="1:36" ht="15.75" customHeight="1" x14ac:dyDescent="0.2">
      <c r="A52" s="209" t="s">
        <v>188</v>
      </c>
      <c r="B52" s="205">
        <f>MIN('Aug2025'!B51 + 1.25,15)- (COUNTIF(E52:AH52, "VL") * 1) - (COUNTIF(E52:AH52, "HDL") * 0.5)</f>
        <v>0.25</v>
      </c>
      <c r="C52" s="206">
        <f>MIN('Aug2025'!C51)-COUNTIF(E52:AH52, "SL")-(COUNTIF(E52:AH52, "HDSL") * 0.5)</f>
        <v>0</v>
      </c>
      <c r="D52" s="207">
        <f>'Jun2025 '!D45-COUNTIF(E52:AH52, "SPL")</f>
        <v>0</v>
      </c>
      <c r="E52" s="208"/>
      <c r="F52" s="208"/>
      <c r="G52" s="208" t="s">
        <v>172</v>
      </c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  <c r="AA52" s="208"/>
      <c r="AB52" s="208"/>
      <c r="AC52" s="208"/>
      <c r="AD52" s="208"/>
      <c r="AE52" s="208"/>
      <c r="AF52" s="208"/>
      <c r="AG52" s="220"/>
      <c r="AH52" s="208"/>
      <c r="AJ52" s="203">
        <f t="shared" si="0"/>
        <v>0</v>
      </c>
    </row>
    <row r="53" spans="1:36" ht="15.75" customHeight="1" x14ac:dyDescent="0.2">
      <c r="A53" s="204" t="s">
        <v>187</v>
      </c>
      <c r="B53" s="205">
        <f>MIN('Aug2025'!B52 + 1.25,15)- (COUNTIF(E53:AH53, "VL") * 1) - (COUNTIF(E53:AH53, "HDL") * 0.5)</f>
        <v>11.5</v>
      </c>
      <c r="C53" s="206">
        <f>MIN('Aug2025'!C52 + 0.42, 5)-COUNTIF(E53:AH53, "SL")-(COUNTIF(E53:AH53, "HDSL") * 0.5)</f>
        <v>1.42</v>
      </c>
      <c r="D53" s="207">
        <f>'Jun2025 '!D46-COUNTIF(E53:AH53, "SPL")</f>
        <v>0</v>
      </c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  <c r="AA53" s="208"/>
      <c r="AB53" s="208"/>
      <c r="AC53" s="208"/>
      <c r="AD53" s="208"/>
      <c r="AE53" s="208" t="s">
        <v>173</v>
      </c>
      <c r="AF53" s="208"/>
      <c r="AG53" s="220"/>
      <c r="AH53" s="208"/>
      <c r="AJ53" s="203">
        <f t="shared" si="0"/>
        <v>1</v>
      </c>
    </row>
    <row r="54" spans="1:36" ht="15.75" customHeight="1" x14ac:dyDescent="0.2">
      <c r="A54" s="209" t="s">
        <v>219</v>
      </c>
      <c r="B54" s="205">
        <f>'Aug2025'!B53+1.25- (COUNTIF(E54:AH54, "VL") * 1) - (COUNTIF(E54:AH54, "HDL") * 0.5)</f>
        <v>19</v>
      </c>
      <c r="C54" s="206">
        <f>MIN('Aug2025'!C53 + 0.42, 5)-COUNTIF(E54:AH54, "SL")-(COUNTIF(E54:AH54, "HDSL") * 0.5)</f>
        <v>5</v>
      </c>
      <c r="D54" s="207">
        <f>'Jun2025 '!D47-COUNTIF(E54:AH54, "SPL")</f>
        <v>0</v>
      </c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  <c r="AA54" s="208"/>
      <c r="AB54" s="208"/>
      <c r="AC54" s="208"/>
      <c r="AD54" s="208"/>
      <c r="AE54" s="208"/>
      <c r="AF54" s="208"/>
      <c r="AG54" s="220"/>
      <c r="AH54" s="208"/>
      <c r="AJ54" s="203">
        <f t="shared" si="0"/>
        <v>0</v>
      </c>
    </row>
    <row r="55" spans="1:36" ht="15.75" customHeight="1" x14ac:dyDescent="0.2">
      <c r="A55" s="215" t="s">
        <v>362</v>
      </c>
      <c r="B55" s="205">
        <f>MIN('Aug2025'!B54 + 1.25)- (COUNTIF(E55:AH55, "VL") * 1) - (COUNTIF(E55:AH55, "HDL") * 0.5)</f>
        <v>8.75</v>
      </c>
      <c r="C55" s="206">
        <f>MIN('Aug2025'!C54 + 0.416, 5)-COUNTIF(E55:AH455, "SL")-(COUNTIF(E55:AH55, "HDSL") * 0.5)</f>
        <v>2.9159999999999999</v>
      </c>
      <c r="D55" s="207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  <c r="AA55" s="208"/>
      <c r="AB55" s="208"/>
      <c r="AC55" s="208"/>
      <c r="AD55" s="208"/>
      <c r="AE55" s="208"/>
      <c r="AF55" s="208"/>
      <c r="AG55" s="220"/>
      <c r="AH55" s="208"/>
      <c r="AJ55" s="203">
        <f t="shared" si="0"/>
        <v>0</v>
      </c>
    </row>
    <row r="56" spans="1:36" x14ac:dyDescent="0.2">
      <c r="A56" s="204" t="s">
        <v>154</v>
      </c>
      <c r="B56" s="205">
        <f>'Aug2025'!B55+1.25- (COUNTIF(E56:AH56, "VL") * 1) - (COUNTIF(E56:AH56, "HDL") * 0.5)</f>
        <v>3.25</v>
      </c>
      <c r="C56" s="206">
        <f>'Aug2025'!C55-COUNTIF(E56:AH56, "SL")-(COUNTIF(E56:AH56, "HDSL") * 0.5)</f>
        <v>2</v>
      </c>
      <c r="D56" s="207">
        <f>'Jun2025 '!D48-COUNTIF(E56:AH56, "SPL")</f>
        <v>0</v>
      </c>
      <c r="E56" s="208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  <c r="Z56" s="208"/>
      <c r="AA56" s="208"/>
      <c r="AB56" s="208"/>
      <c r="AC56" s="208"/>
      <c r="AD56" s="208"/>
      <c r="AE56" s="208"/>
      <c r="AF56" s="208"/>
      <c r="AG56" s="220"/>
      <c r="AH56" s="208"/>
      <c r="AJ56" s="203">
        <f t="shared" si="0"/>
        <v>0</v>
      </c>
    </row>
    <row r="57" spans="1:36" x14ac:dyDescent="0.2">
      <c r="A57" s="204" t="s">
        <v>189</v>
      </c>
      <c r="B57" s="205">
        <f>'Aug2025'!B56+1.25-15.25- (COUNTIF(E57:AH57, "VL") * 1) - (COUNTIF(E57:AH57, "HDL") * 0.5)</f>
        <v>10.25</v>
      </c>
      <c r="C57" s="206">
        <f>'Aug2025'!C56-COUNTIF(E57:AH57, "SL")-(COUNTIF(E57:AH57, "HDSL") * 0.5)</f>
        <v>2</v>
      </c>
      <c r="D57" s="207">
        <f>'Jun2025 '!D49-COUNTIF(E57:AH57, "SPL")</f>
        <v>0</v>
      </c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  <c r="AA57" s="208"/>
      <c r="AB57" s="208"/>
      <c r="AC57" s="208"/>
      <c r="AD57" s="208"/>
      <c r="AE57" s="208"/>
      <c r="AF57" s="208"/>
      <c r="AG57" s="222"/>
      <c r="AH57" s="211"/>
      <c r="AJ57" s="203">
        <f t="shared" si="0"/>
        <v>0</v>
      </c>
    </row>
    <row r="58" spans="1:36" x14ac:dyDescent="0.2">
      <c r="A58" s="204" t="s">
        <v>354</v>
      </c>
      <c r="B58" s="205">
        <f>'Aug2025'!B57+1.25- (COUNTIF(E58:AH58, "VL") * 1) - (COUNTIF(E58:AH58, "HDL") * 0.5)</f>
        <v>12.5</v>
      </c>
      <c r="C58" s="206">
        <f>'Aug2025'!C57+0.416-COUNTIF(E58:AH58, "SL")-(COUNTIF(E58:AH58, "HDSL") * 0.5)</f>
        <v>2.1646666666666619</v>
      </c>
      <c r="D58" s="207">
        <f>'Jun2025 '!D50-COUNTIF(E58:AH58, "SPL")</f>
        <v>0</v>
      </c>
      <c r="E58" s="208"/>
      <c r="F58" s="208"/>
      <c r="G58" s="208"/>
      <c r="H58" s="208"/>
      <c r="I58" s="208"/>
      <c r="J58" s="208"/>
      <c r="K58" s="208"/>
      <c r="L58" s="208"/>
      <c r="M58" s="208"/>
      <c r="N58" s="208"/>
      <c r="O58" s="208"/>
      <c r="P58" s="208"/>
      <c r="Q58" s="208"/>
      <c r="R58" s="208"/>
      <c r="S58" s="208"/>
      <c r="T58" s="208"/>
      <c r="U58" s="208"/>
      <c r="V58" s="208"/>
      <c r="W58" s="208"/>
      <c r="X58" s="208"/>
      <c r="Y58" s="208"/>
      <c r="Z58" s="208"/>
      <c r="AA58" s="208"/>
      <c r="AB58" s="208"/>
      <c r="AC58" s="208"/>
      <c r="AD58" s="208"/>
      <c r="AE58" s="208"/>
      <c r="AF58" s="208"/>
      <c r="AG58" s="222"/>
      <c r="AH58" s="211"/>
      <c r="AJ58" s="203">
        <f t="shared" si="0"/>
        <v>0</v>
      </c>
    </row>
    <row r="59" spans="1:36" x14ac:dyDescent="0.2">
      <c r="A59" s="215" t="s">
        <v>363</v>
      </c>
      <c r="B59" s="205">
        <f>'Aug2025'!B58+1.25- (COUNTIF(E59:AH59, "VL") * 1) - (COUNTIF(E59:AH59, "HDL") * 0.5)</f>
        <v>10</v>
      </c>
      <c r="C59" s="206">
        <f>MIN('Aug2025'!C58 + 0.416, 5)-COUNTIF(E59:AH59, "SL")-(COUNTIF(E59:AH59, "HDSL") * 0.5)</f>
        <v>3.3319999999999999</v>
      </c>
      <c r="D59" s="207">
        <f>'Jun2025 '!D51-COUNTIF(E59:AH59, "SPL")</f>
        <v>0</v>
      </c>
      <c r="E59" s="216"/>
      <c r="F59" s="216"/>
      <c r="G59" s="216"/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/>
      <c r="T59" s="216"/>
      <c r="U59" s="216"/>
      <c r="V59" s="216"/>
      <c r="W59" s="216"/>
      <c r="X59" s="216"/>
      <c r="Y59" s="216"/>
      <c r="Z59" s="216"/>
      <c r="AA59" s="216"/>
      <c r="AB59" s="216"/>
      <c r="AC59" s="216"/>
      <c r="AD59" s="216"/>
      <c r="AE59" s="216"/>
      <c r="AF59" s="216"/>
      <c r="AG59" s="226"/>
      <c r="AH59" s="211"/>
      <c r="AJ59" s="203">
        <f t="shared" si="0"/>
        <v>0</v>
      </c>
    </row>
    <row r="60" spans="1:36" x14ac:dyDescent="0.2">
      <c r="A60" s="204" t="s">
        <v>155</v>
      </c>
      <c r="B60" s="205">
        <f>'Aug2025'!B59+1.25- (COUNTIF(E60:AH60, "VL") * 1) - (COUNTIF(E60:AH60, "HDL") * 0.5)</f>
        <v>4.5</v>
      </c>
      <c r="C60" s="206">
        <f>'Aug2025'!C59-COUNTIF(E60:AH60, "SL")-(COUNTIF(E60:AH60, "HDSL") * 0.5)</f>
        <v>0</v>
      </c>
      <c r="D60" s="207">
        <f>'Jun2025 '!D51-COUNTIF(E60:AH60, "SPL")</f>
        <v>0</v>
      </c>
      <c r="E60" s="216"/>
      <c r="F60" s="216"/>
      <c r="G60" s="216"/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6"/>
      <c r="S60" s="216"/>
      <c r="T60" s="216"/>
      <c r="U60" s="216"/>
      <c r="V60" s="216"/>
      <c r="W60" s="216"/>
      <c r="X60" s="216"/>
      <c r="Y60" s="216"/>
      <c r="Z60" s="216"/>
      <c r="AA60" s="216"/>
      <c r="AB60" s="216"/>
      <c r="AC60" s="216"/>
      <c r="AD60" s="216"/>
      <c r="AE60" s="216"/>
      <c r="AF60" s="216"/>
      <c r="AG60" s="223"/>
      <c r="AH60" s="208"/>
      <c r="AJ60" s="203">
        <f t="shared" si="0"/>
        <v>0</v>
      </c>
    </row>
    <row r="61" spans="1:36" x14ac:dyDescent="0.2">
      <c r="A61" s="204" t="s">
        <v>224</v>
      </c>
      <c r="B61" s="205">
        <f>'Aug2025'!B60+1.25- (COUNTIF(E61:AH61, "VL") * 1) - (COUNTIF(E61:AH61, "HDL") * 0.5)</f>
        <v>12.25</v>
      </c>
      <c r="C61" s="206">
        <f ca="1">MIN(Sept2025!C61 + 0.42, 5)-COUNTIF(E60:AH61, "SL")-(COUNTIF(E61:AH61, "HDSL") * 0.5)</f>
        <v>0</v>
      </c>
      <c r="D61" s="207">
        <f>'Jun2025 '!D52-COUNTIF(E61:AH61, "SPL")</f>
        <v>0</v>
      </c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  <c r="Z61" s="211"/>
      <c r="AA61" s="211"/>
      <c r="AB61" s="211"/>
      <c r="AC61" s="211"/>
      <c r="AD61" s="211"/>
      <c r="AE61" s="211"/>
      <c r="AF61" s="218" t="s">
        <v>172</v>
      </c>
      <c r="AG61" s="222"/>
      <c r="AH61" s="211"/>
      <c r="AJ61" s="203">
        <f t="shared" si="0"/>
        <v>0</v>
      </c>
    </row>
    <row r="62" spans="1:36" x14ac:dyDescent="0.2">
      <c r="A62" s="204" t="s">
        <v>166</v>
      </c>
      <c r="B62" s="205">
        <f>'Aug2025'!B61+1.25- (COUNTIF(E62:AH62, "VL") * 1) - (COUNTIF(E62:AH62, "HDL") * 0.5)</f>
        <v>4.5</v>
      </c>
      <c r="C62" s="206">
        <f>'Aug2025'!C61-COUNTIF(E62:AH62, "SL")-(COUNTIF(E62:AH62, "HDSL") * 0.5)</f>
        <v>2</v>
      </c>
      <c r="D62" s="207">
        <f>'Jun2025 '!D53-COUNTIF(E62:AH62, "SPL")</f>
        <v>0</v>
      </c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9"/>
      <c r="Q62" s="211"/>
      <c r="R62" s="211"/>
      <c r="S62" s="211"/>
      <c r="T62" s="211"/>
      <c r="U62" s="211"/>
      <c r="V62" s="211"/>
      <c r="W62" s="211"/>
      <c r="X62" s="211"/>
      <c r="Y62" s="211"/>
      <c r="Z62" s="211"/>
      <c r="AA62" s="211"/>
      <c r="AB62" s="211"/>
      <c r="AC62" s="211"/>
      <c r="AD62" s="211"/>
      <c r="AE62" s="211"/>
      <c r="AF62" s="211"/>
      <c r="AG62" s="222"/>
      <c r="AH62" s="211"/>
      <c r="AJ62" s="203">
        <f t="shared" si="0"/>
        <v>0</v>
      </c>
    </row>
    <row r="63" spans="1:36" x14ac:dyDescent="0.2">
      <c r="AJ63" s="203">
        <f t="shared" si="0"/>
        <v>0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6F41B-867A-486D-ACE2-735B1037498C}">
  <sheetPr>
    <tabColor rgb="FFFF0000"/>
  </sheetPr>
  <dimension ref="A1:AJ64"/>
  <sheetViews>
    <sheetView zoomScale="130" zoomScaleNormal="130" workbookViewId="0">
      <pane xSplit="4" ySplit="1" topLeftCell="E27" activePane="bottomRight" state="frozen"/>
      <selection pane="topRight" activeCell="E1" sqref="E1"/>
      <selection pane="bottomLeft" activeCell="A2" sqref="A2"/>
      <selection pane="bottomRight" activeCell="B48" sqref="B48"/>
    </sheetView>
  </sheetViews>
  <sheetFormatPr defaultRowHeight="11.25" x14ac:dyDescent="0.2"/>
  <cols>
    <col min="1" max="1" width="42.83203125" style="203" customWidth="1"/>
    <col min="2" max="4" width="9.33203125" style="203" customWidth="1"/>
    <col min="5" max="33" width="9.33203125" style="203"/>
    <col min="34" max="34" width="9.5" style="203" customWidth="1"/>
    <col min="35" max="16384" width="9.33203125" style="203"/>
  </cols>
  <sheetData>
    <row r="1" spans="1:36" x14ac:dyDescent="0.2">
      <c r="A1" s="199" t="s">
        <v>124</v>
      </c>
      <c r="B1" s="200" t="s">
        <v>172</v>
      </c>
      <c r="C1" s="201" t="s">
        <v>173</v>
      </c>
      <c r="D1" s="202" t="s">
        <v>174</v>
      </c>
      <c r="E1" s="197">
        <v>45931</v>
      </c>
      <c r="F1" s="197">
        <v>45932</v>
      </c>
      <c r="G1" s="197">
        <v>45933</v>
      </c>
      <c r="H1" s="197">
        <v>45934</v>
      </c>
      <c r="I1" s="197">
        <v>45935</v>
      </c>
      <c r="J1" s="197">
        <v>45936</v>
      </c>
      <c r="K1" s="197">
        <v>45937</v>
      </c>
      <c r="L1" s="197">
        <v>45938</v>
      </c>
      <c r="M1" s="197">
        <v>45939</v>
      </c>
      <c r="N1" s="197">
        <v>45940</v>
      </c>
      <c r="O1" s="197">
        <v>45941</v>
      </c>
      <c r="P1" s="197">
        <v>45942</v>
      </c>
      <c r="Q1" s="197">
        <v>45943</v>
      </c>
      <c r="R1" s="197">
        <v>45944</v>
      </c>
      <c r="S1" s="197">
        <v>45945</v>
      </c>
      <c r="T1" s="197">
        <v>45946</v>
      </c>
      <c r="U1" s="197">
        <v>45947</v>
      </c>
      <c r="V1" s="197">
        <v>45948</v>
      </c>
      <c r="W1" s="197">
        <v>45949</v>
      </c>
      <c r="X1" s="197">
        <v>45950</v>
      </c>
      <c r="Y1" s="197">
        <v>45951</v>
      </c>
      <c r="Z1" s="197">
        <v>45952</v>
      </c>
      <c r="AA1" s="197">
        <v>45953</v>
      </c>
      <c r="AB1" s="197">
        <v>45954</v>
      </c>
      <c r="AC1" s="197">
        <v>45955</v>
      </c>
      <c r="AD1" s="197">
        <v>45956</v>
      </c>
      <c r="AE1" s="197">
        <v>45957</v>
      </c>
      <c r="AF1" s="197">
        <v>45958</v>
      </c>
      <c r="AG1" s="197">
        <v>45959</v>
      </c>
      <c r="AH1" s="197">
        <v>45960</v>
      </c>
      <c r="AI1" s="197">
        <v>45961</v>
      </c>
      <c r="AJ1" s="203" t="s">
        <v>218</v>
      </c>
    </row>
    <row r="2" spans="1:36" ht="17.25" customHeight="1" x14ac:dyDescent="0.2">
      <c r="A2" s="204" t="s">
        <v>158</v>
      </c>
      <c r="B2" s="205">
        <f>Sept2025!B2+1.25- (COUNTIF(E2:AI2, "VL") * 1) - (COUNTIF(E2:AI2, "HDL") * 0.5)</f>
        <v>9.5</v>
      </c>
      <c r="C2" s="206">
        <f ca="1">Sept2025!C2-COUNTIF(A2:E13, "SL")-(COUNTIF(E2:AI2, "HDSL") * 0.5)</f>
        <v>0</v>
      </c>
      <c r="D2" s="207">
        <f>'Jun2025 '!D2-COUNTIF(E2:AI2, "SPL")</f>
        <v>0</v>
      </c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20"/>
      <c r="AH2" s="220"/>
      <c r="AI2" s="211"/>
      <c r="AJ2" s="203">
        <f>COUNTIF(E2:AI2,"SL")</f>
        <v>0</v>
      </c>
    </row>
    <row r="3" spans="1:36" ht="17.25" customHeight="1" x14ac:dyDescent="0.2">
      <c r="A3" s="204" t="s">
        <v>160</v>
      </c>
      <c r="B3" s="205">
        <f>Sept2025!B3+1.25-0.75- (COUNTIF(E3:AI3, "VL") * 1) - (COUNTIF(E3:AI3, "HDL") * 0.5)</f>
        <v>13.75</v>
      </c>
      <c r="C3" s="206">
        <f>Sept2025!C3-COUNTIF(E3:AI3, "SL")-(COUNTIF(E3:AI3, "HDSL") * 0.5)</f>
        <v>0.5</v>
      </c>
      <c r="D3" s="207">
        <f>'Jun2025 '!D3-COUNTIF(E3:AI3, "SPL")</f>
        <v>0</v>
      </c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16"/>
      <c r="AA3" s="216"/>
      <c r="AB3" s="216"/>
      <c r="AC3" s="216"/>
      <c r="AD3" s="216"/>
      <c r="AE3" s="208"/>
      <c r="AF3" s="208"/>
      <c r="AG3" s="220"/>
      <c r="AH3" s="220"/>
      <c r="AI3" s="211"/>
      <c r="AJ3" s="203">
        <f t="shared" ref="AJ3:AJ64" si="0">COUNTIF(E3:AI3,"SL")</f>
        <v>0</v>
      </c>
    </row>
    <row r="4" spans="1:36" ht="17.25" customHeight="1" x14ac:dyDescent="0.2">
      <c r="A4" s="204" t="s">
        <v>149</v>
      </c>
      <c r="B4" s="205">
        <f>Sept2025!B4+1.25-0.25- (COUNTIF(E4:AI4, "VL") * 1) - (COUNTIF(E4:AI4, "HDL") * 0.5)</f>
        <v>11</v>
      </c>
      <c r="C4" s="206">
        <f>Sept2025!C4-COUNTIF(E4:AI4, "SL")-(COUNTIF(E4:AI4, "HDSL") * 0.5)</f>
        <v>0</v>
      </c>
      <c r="D4" s="207">
        <f>'Jun2025 '!D4-COUNTIF(E4:AI4, "SPL")</f>
        <v>0</v>
      </c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18"/>
      <c r="X4" s="218" t="s">
        <v>172</v>
      </c>
      <c r="Y4" s="218" t="s">
        <v>172</v>
      </c>
      <c r="Z4" s="218" t="s">
        <v>172</v>
      </c>
      <c r="AA4" s="218" t="s">
        <v>172</v>
      </c>
      <c r="AB4" s="218"/>
      <c r="AC4" s="208"/>
      <c r="AD4" s="208"/>
      <c r="AE4" s="230"/>
      <c r="AF4" s="208"/>
      <c r="AG4" s="220"/>
      <c r="AH4" s="220"/>
      <c r="AI4" s="211"/>
      <c r="AJ4" s="203">
        <f t="shared" si="0"/>
        <v>0</v>
      </c>
    </row>
    <row r="5" spans="1:36" ht="17.25" customHeight="1" x14ac:dyDescent="0.2">
      <c r="A5" s="204" t="s">
        <v>142</v>
      </c>
      <c r="B5" s="205">
        <f>Sept2025!B5+1.25-0.5- (COUNTIF(E5:AI5, "VL") * 1) - (COUNTIF(E5:AI5, "HDL") * 0.5)</f>
        <v>5.5</v>
      </c>
      <c r="C5" s="206">
        <f>Sept2025!C5-COUNTIF(E5:AI5, "SL")-(COUNTIF(E5:AI5, "HDSL") * 0.5)</f>
        <v>0.5</v>
      </c>
      <c r="D5" s="207">
        <f>'Jun2025 '!D5-COUNTIF(E5:AI5, "SPL")</f>
        <v>0</v>
      </c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18"/>
      <c r="X5" s="218" t="s">
        <v>172</v>
      </c>
      <c r="Y5" s="218" t="s">
        <v>172</v>
      </c>
      <c r="Z5" s="218" t="s">
        <v>172</v>
      </c>
      <c r="AA5" s="218" t="s">
        <v>172</v>
      </c>
      <c r="AB5" s="218"/>
      <c r="AC5" s="208"/>
      <c r="AD5" s="211"/>
      <c r="AE5" s="230"/>
      <c r="AF5" s="208"/>
      <c r="AG5" s="220"/>
      <c r="AH5" s="220"/>
      <c r="AI5" s="211"/>
      <c r="AJ5" s="203">
        <f t="shared" si="0"/>
        <v>0</v>
      </c>
    </row>
    <row r="6" spans="1:36" ht="17.25" customHeight="1" x14ac:dyDescent="0.2">
      <c r="A6" s="215" t="s">
        <v>356</v>
      </c>
      <c r="B6" s="205">
        <f>Sept2025!B6+1.25- (COUNTIF(E6:AI6, "VL") * 1) - (COUNTIF(E6:AI6, "HDL") * 0.5)</f>
        <v>1</v>
      </c>
      <c r="C6" s="206">
        <f>MIN(Sept2025!C6 + 0.416, 5)-COUNTIF(E6:AI6, "SL")-(COUNTIF(E6:AI6, "HDSL") * 0.5)</f>
        <v>2.3319999999999999</v>
      </c>
      <c r="D6" s="207"/>
      <c r="E6" s="208" t="s">
        <v>172</v>
      </c>
      <c r="F6" s="208" t="s">
        <v>172</v>
      </c>
      <c r="G6" s="208" t="s">
        <v>172</v>
      </c>
      <c r="H6" s="208"/>
      <c r="I6" s="208"/>
      <c r="J6" s="208" t="s">
        <v>172</v>
      </c>
      <c r="K6" s="218" t="s">
        <v>172</v>
      </c>
      <c r="L6" s="218" t="s">
        <v>172</v>
      </c>
      <c r="M6" s="218" t="s">
        <v>172</v>
      </c>
      <c r="N6" s="218" t="s">
        <v>172</v>
      </c>
      <c r="O6" s="208"/>
      <c r="P6" s="208"/>
      <c r="Q6" s="208" t="s">
        <v>217</v>
      </c>
      <c r="R6" s="208" t="s">
        <v>217</v>
      </c>
      <c r="S6" s="208" t="s">
        <v>217</v>
      </c>
      <c r="T6" s="208" t="s">
        <v>217</v>
      </c>
      <c r="U6" s="208" t="s">
        <v>217</v>
      </c>
      <c r="V6" s="208"/>
      <c r="W6" s="218"/>
      <c r="X6" s="208" t="s">
        <v>217</v>
      </c>
      <c r="Y6" s="208" t="s">
        <v>217</v>
      </c>
      <c r="Z6" s="208" t="s">
        <v>217</v>
      </c>
      <c r="AA6" s="218"/>
      <c r="AB6" s="218"/>
      <c r="AC6" s="208"/>
      <c r="AD6" s="211"/>
      <c r="AE6" s="230"/>
      <c r="AF6" s="208"/>
      <c r="AG6" s="220"/>
      <c r="AH6" s="220"/>
      <c r="AI6" s="211"/>
      <c r="AJ6" s="203">
        <f t="shared" si="0"/>
        <v>0</v>
      </c>
    </row>
    <row r="7" spans="1:36" ht="17.25" customHeight="1" x14ac:dyDescent="0.2">
      <c r="A7" s="215" t="s">
        <v>366</v>
      </c>
      <c r="B7" s="205">
        <f>MIN(7.5)- (COUNTIF(E7:AI7, "VL") * 1) - (COUNTIF(E7:AI7, "HDL") * 0.5)</f>
        <v>7.5</v>
      </c>
      <c r="C7" s="206">
        <f>MIN(5)-COUNTIF(E6:AI6, "SL")-(COUNTIF(E6:AI6, "HDSL") * 0.5)</f>
        <v>5</v>
      </c>
      <c r="D7" s="207"/>
      <c r="E7" s="208"/>
      <c r="F7" s="208"/>
      <c r="G7" s="208"/>
      <c r="H7" s="208"/>
      <c r="I7" s="208"/>
      <c r="J7" s="208"/>
      <c r="K7" s="218"/>
      <c r="L7" s="218"/>
      <c r="M7" s="218"/>
      <c r="N7" s="218"/>
      <c r="O7" s="208"/>
      <c r="P7" s="208"/>
      <c r="Q7" s="208"/>
      <c r="R7" s="208"/>
      <c r="S7" s="208"/>
      <c r="T7" s="208"/>
      <c r="U7" s="208"/>
      <c r="V7" s="208"/>
      <c r="W7" s="218"/>
      <c r="X7" s="208"/>
      <c r="Y7" s="208"/>
      <c r="Z7" s="232"/>
      <c r="AA7" s="249"/>
      <c r="AB7" s="249"/>
      <c r="AC7" s="232"/>
      <c r="AD7" s="250"/>
      <c r="AE7" s="230"/>
      <c r="AF7" s="208"/>
      <c r="AG7" s="220"/>
      <c r="AH7" s="220"/>
      <c r="AI7" s="211"/>
      <c r="AJ7" s="203">
        <f t="shared" si="0"/>
        <v>0</v>
      </c>
    </row>
    <row r="8" spans="1:36" ht="17.25" customHeight="1" x14ac:dyDescent="0.2">
      <c r="A8" s="204" t="s">
        <v>176</v>
      </c>
      <c r="B8" s="205">
        <f>Sept2025!B7+1.25- (COUNTIF(E8:AI8, "VL") * 1) - (COUNTIF(E8:AI8, "HDL") * 0.5)</f>
        <v>11.5</v>
      </c>
      <c r="C8" s="206">
        <f>Sept2025!C7-COUNTIF(E8:AI8, "SL")-(COUNTIF(E8:AI8, "HDSL") * 0.5)</f>
        <v>1</v>
      </c>
      <c r="D8" s="207">
        <f>'Jun2025 '!D6-COUNTIF(E8:AI8, "SPL")</f>
        <v>0</v>
      </c>
      <c r="E8" s="198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229"/>
      <c r="X8" s="229"/>
      <c r="Y8" s="229"/>
      <c r="Z8" s="234"/>
      <c r="AA8" s="234"/>
      <c r="AB8" s="234"/>
      <c r="AC8" s="235"/>
      <c r="AD8" s="235"/>
      <c r="AE8" s="198"/>
      <c r="AF8" s="198"/>
      <c r="AG8" s="221"/>
      <c r="AH8" s="221"/>
      <c r="AI8" s="211"/>
      <c r="AJ8" s="203">
        <f t="shared" si="0"/>
        <v>0</v>
      </c>
    </row>
    <row r="9" spans="1:36" ht="17.25" customHeight="1" x14ac:dyDescent="0.2">
      <c r="A9" s="209" t="s">
        <v>177</v>
      </c>
      <c r="B9" s="205">
        <f>Sept2025!B8+1.25- (COUNTIF(E9:AI9, "VL") * 1) - (COUNTIF(E9:AI9, "HDL") * 0.5)</f>
        <v>5.25</v>
      </c>
      <c r="C9" s="206">
        <f>Sept2025!C8-COUNTIF(E9:AI9, "SL")-(COUNTIF(E9:AI9, "HDSL") * 0.5)</f>
        <v>0</v>
      </c>
      <c r="D9" s="207">
        <f>'Jun2025 '!D7-COUNTIF(E9:AI9, "SPL")</f>
        <v>0</v>
      </c>
      <c r="E9" s="198"/>
      <c r="F9" s="198"/>
      <c r="G9" s="198"/>
      <c r="H9" s="198"/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229"/>
      <c r="X9" s="229"/>
      <c r="Y9" s="229"/>
      <c r="Z9" s="229"/>
      <c r="AA9" s="229"/>
      <c r="AB9" s="229"/>
      <c r="AC9" s="198"/>
      <c r="AD9" s="198"/>
      <c r="AE9" s="198"/>
      <c r="AF9" s="198"/>
      <c r="AG9" s="221"/>
      <c r="AH9" s="221"/>
      <c r="AI9" s="211"/>
      <c r="AJ9" s="203">
        <f t="shared" si="0"/>
        <v>0</v>
      </c>
    </row>
    <row r="10" spans="1:36" ht="17.25" customHeight="1" x14ac:dyDescent="0.2">
      <c r="A10" s="209" t="s">
        <v>178</v>
      </c>
      <c r="B10" s="205">
        <f>Sept2025!B9+1.25- (COUNTIF(E10:AI10, "VL") * 1) - (COUNTIF(E10:AI10, "HDL") * 0.5)</f>
        <v>3</v>
      </c>
      <c r="C10" s="206">
        <f>Sept2025!C9-COUNTIF(E10:AI10, "SL")-(COUNTIF(E10:AI10, "HDSL") * 0.5)</f>
        <v>0</v>
      </c>
      <c r="D10" s="207">
        <f>'Jun2025 '!D8-COUNTIF(E10:AI10, "SPL")</f>
        <v>0</v>
      </c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18"/>
      <c r="X10" s="218"/>
      <c r="Y10" s="218"/>
      <c r="Z10" s="218"/>
      <c r="AA10" s="218"/>
      <c r="AB10" s="218"/>
      <c r="AC10" s="208"/>
      <c r="AD10" s="208"/>
      <c r="AE10" s="208"/>
      <c r="AF10" s="208"/>
      <c r="AG10" s="220"/>
      <c r="AH10" s="220"/>
      <c r="AI10" s="211"/>
      <c r="AJ10" s="203">
        <f t="shared" si="0"/>
        <v>0</v>
      </c>
    </row>
    <row r="11" spans="1:36" ht="17.25" customHeight="1" x14ac:dyDescent="0.2">
      <c r="A11" s="215" t="s">
        <v>364</v>
      </c>
      <c r="B11" s="205"/>
      <c r="C11" s="206"/>
      <c r="D11" s="207">
        <f>Sept2025!D10-COUNTIF(E11:AI11, "SPL")</f>
        <v>6</v>
      </c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18"/>
      <c r="X11" s="218"/>
      <c r="Y11" s="218"/>
      <c r="Z11" s="218"/>
      <c r="AA11" s="218"/>
      <c r="AB11" s="218"/>
      <c r="AC11" s="208"/>
      <c r="AD11" s="208"/>
      <c r="AE11" s="208"/>
      <c r="AF11" s="208"/>
      <c r="AG11" s="220"/>
      <c r="AH11" s="220"/>
      <c r="AI11" s="211"/>
      <c r="AJ11" s="203">
        <f t="shared" si="0"/>
        <v>0</v>
      </c>
    </row>
    <row r="12" spans="1:36" ht="17.25" customHeight="1" x14ac:dyDescent="0.2">
      <c r="A12" s="209" t="s">
        <v>332</v>
      </c>
      <c r="B12" s="205">
        <f>Sept2025!B11+1.25- (COUNTIF(E12:AI12, "VL") * 1) - (COUNTIF(E12:AI12, "HDL") * 0.5)</f>
        <v>4</v>
      </c>
      <c r="C12" s="206">
        <f>Sept2025!C11-COUNTIF(E12:AI12, "SL")-(COUNTIF(E12:AI12, "HDSL") * 0.5)</f>
        <v>0.91666666666666208</v>
      </c>
      <c r="D12" s="207">
        <f>'Jun2025 '!D9-COUNTIF(E12:AI12, "SPL")</f>
        <v>0</v>
      </c>
      <c r="E12" s="208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18"/>
      <c r="X12" s="218"/>
      <c r="Y12" s="218"/>
      <c r="Z12" s="218"/>
      <c r="AA12" s="218"/>
      <c r="AB12" s="218"/>
      <c r="AC12" s="208"/>
      <c r="AD12" s="208"/>
      <c r="AE12" s="208"/>
      <c r="AF12" s="208"/>
      <c r="AG12" s="220"/>
      <c r="AH12" s="220"/>
      <c r="AI12" s="211"/>
      <c r="AJ12" s="203">
        <f t="shared" si="0"/>
        <v>0</v>
      </c>
    </row>
    <row r="13" spans="1:36" ht="17.25" customHeight="1" x14ac:dyDescent="0.2">
      <c r="A13" s="209" t="s">
        <v>162</v>
      </c>
      <c r="B13" s="205">
        <f>Sept2025!B12+1.25- (COUNTIF(E13:AI13, "VL") * 1) - (COUNTIF(E13:AI13, "HDL") * 0.5)</f>
        <v>13.75</v>
      </c>
      <c r="C13" s="206">
        <f>Sept2025!C12-COUNTIF(E13:AI13, "SL")-(COUNTIF(E13:AI13, "HDSL") * 0.5)</f>
        <v>5</v>
      </c>
      <c r="D13" s="207">
        <f>'Jun2025 '!D10-COUNTIF(E13:AI13, "SPL")</f>
        <v>0</v>
      </c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18"/>
      <c r="X13" s="218"/>
      <c r="Y13" s="218"/>
      <c r="Z13" s="218"/>
      <c r="AA13" s="218"/>
      <c r="AB13" s="218"/>
      <c r="AC13" s="208"/>
      <c r="AD13" s="208"/>
      <c r="AE13" s="208" t="s">
        <v>172</v>
      </c>
      <c r="AF13" s="208"/>
      <c r="AG13" s="220"/>
      <c r="AH13" s="220"/>
      <c r="AI13" s="211"/>
      <c r="AJ13" s="203">
        <f t="shared" si="0"/>
        <v>0</v>
      </c>
    </row>
    <row r="14" spans="1:36" ht="17.25" customHeight="1" x14ac:dyDescent="0.2">
      <c r="A14" s="209" t="s">
        <v>347</v>
      </c>
      <c r="B14" s="205">
        <f>Sept2025!B13+1.25- (COUNTIF(E14:AI14, "VL") * 1) - (COUNTIF(E14:AI14, "HDL") * 0.5)</f>
        <v>15</v>
      </c>
      <c r="C14" s="206">
        <f>Sept2025!C13+0.416-COUNTIF(E14:AI14, "SL")-(COUNTIF(E14:AI14, "HDSL") * 0.5)</f>
        <v>3.9986666666666602</v>
      </c>
      <c r="D14" s="207">
        <f>'Jun2025 '!D11-COUNTIF(E14:AI14, "SPL")</f>
        <v>0</v>
      </c>
      <c r="E14" s="208"/>
      <c r="F14" s="208"/>
      <c r="G14" s="208"/>
      <c r="H14" s="208"/>
      <c r="I14" s="208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18"/>
      <c r="X14" s="218"/>
      <c r="Y14" s="218"/>
      <c r="Z14" s="218"/>
      <c r="AA14" s="218"/>
      <c r="AB14" s="218"/>
      <c r="AC14" s="208"/>
      <c r="AD14" s="208"/>
      <c r="AE14" s="208"/>
      <c r="AF14" s="208"/>
      <c r="AG14" s="220"/>
      <c r="AH14" s="220"/>
      <c r="AI14" s="211"/>
      <c r="AJ14" s="203">
        <f t="shared" si="0"/>
        <v>0</v>
      </c>
    </row>
    <row r="15" spans="1:36" ht="17.25" customHeight="1" x14ac:dyDescent="0.2">
      <c r="A15" s="252" t="s">
        <v>367</v>
      </c>
      <c r="B15" s="205">
        <v>7.5</v>
      </c>
      <c r="C15" s="206">
        <v>2.5</v>
      </c>
      <c r="D15" s="207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18"/>
      <c r="X15" s="218"/>
      <c r="Y15" s="218"/>
      <c r="Z15" s="218"/>
      <c r="AA15" s="218"/>
      <c r="AB15" s="218"/>
      <c r="AC15" s="208"/>
      <c r="AD15" s="208"/>
      <c r="AE15" s="208"/>
      <c r="AF15" s="208"/>
      <c r="AG15" s="220"/>
      <c r="AH15" s="220"/>
      <c r="AI15" s="211"/>
    </row>
    <row r="16" spans="1:36" ht="17.25" customHeight="1" x14ac:dyDescent="0.2">
      <c r="A16" s="209" t="s">
        <v>179</v>
      </c>
      <c r="B16" s="205">
        <f>Sept2025!B14+1.25- (COUNTIF(E16:AI16, "VL") * 1) - (COUNTIF(E16:AI16, "HDL") * 0.5)</f>
        <v>9</v>
      </c>
      <c r="C16" s="206">
        <f>Sept2025!C14-COUNTIF(E16:AI16, "SL")-(COUNTIF(E16:AI16, "HDSL") * 0.5)</f>
        <v>3</v>
      </c>
      <c r="D16" s="207">
        <f>'Jun2025 '!D12-COUNTIF(E16:AI16, "SPL")</f>
        <v>0</v>
      </c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229"/>
      <c r="X16" s="229"/>
      <c r="Y16" s="229"/>
      <c r="Z16" s="229"/>
      <c r="AA16" s="229"/>
      <c r="AB16" s="229"/>
      <c r="AC16" s="198"/>
      <c r="AD16" s="198"/>
      <c r="AE16" s="198"/>
      <c r="AF16" s="198"/>
      <c r="AG16" s="221"/>
      <c r="AH16" s="221"/>
      <c r="AI16" s="211"/>
      <c r="AJ16" s="203">
        <f t="shared" si="0"/>
        <v>0</v>
      </c>
    </row>
    <row r="17" spans="1:36" ht="17.25" customHeight="1" x14ac:dyDescent="0.2">
      <c r="A17" s="209" t="s">
        <v>348</v>
      </c>
      <c r="B17" s="205">
        <f>Sept2025!B15+1.25- (COUNTIF(E17:AI17, "VL") * 1) - (COUNTIF(E17:AI17, "HDL") * 0.5)</f>
        <v>5.75</v>
      </c>
      <c r="C17" s="206">
        <f>Sept2025!C15+0.416-COUNTIF(E17:AI17, "SL")-(COUNTIF(E17:AI17, "HDSL") * 0.5)</f>
        <v>2.5799999999999956</v>
      </c>
      <c r="D17" s="207">
        <f>'Jun2025 '!D13-COUNTIF(E17:AI17, "SPL")</f>
        <v>0</v>
      </c>
      <c r="E17" s="198"/>
      <c r="F17" s="198"/>
      <c r="G17" s="198"/>
      <c r="H17" s="198"/>
      <c r="I17" s="198"/>
      <c r="J17" s="198"/>
      <c r="K17" s="198" t="s">
        <v>172</v>
      </c>
      <c r="L17" s="198" t="s">
        <v>172</v>
      </c>
      <c r="M17" s="198" t="s">
        <v>172</v>
      </c>
      <c r="N17" s="198"/>
      <c r="O17" s="198"/>
      <c r="P17" s="198"/>
      <c r="Q17" s="198"/>
      <c r="R17" s="198"/>
      <c r="S17" s="198"/>
      <c r="T17" s="198"/>
      <c r="U17" s="198"/>
      <c r="V17" s="198"/>
      <c r="W17" s="229"/>
      <c r="X17" s="229"/>
      <c r="Y17" s="229"/>
      <c r="Z17" s="229"/>
      <c r="AA17" s="229"/>
      <c r="AB17" s="229"/>
      <c r="AC17" s="198"/>
      <c r="AD17" s="198"/>
      <c r="AE17" s="198"/>
      <c r="AF17" s="198"/>
      <c r="AG17" s="221"/>
      <c r="AH17" s="221"/>
      <c r="AI17" s="211"/>
      <c r="AJ17" s="203">
        <f t="shared" si="0"/>
        <v>0</v>
      </c>
    </row>
    <row r="18" spans="1:36" ht="17.25" customHeight="1" x14ac:dyDescent="0.2">
      <c r="A18" s="209" t="s">
        <v>151</v>
      </c>
      <c r="B18" s="205">
        <f>Sept2025!B16+1.25- (COUNTIF(E18:AI18, "VL") * 1) - (COUNTIF(E18:AI18, "HDL") * 0.5)</f>
        <v>12.75</v>
      </c>
      <c r="C18" s="206">
        <f>Sept2025!C16-COUNTIF(E18:AI18, "SL")-(COUNTIF(E18:AI18, "HDSL") * 0.5)</f>
        <v>0.5</v>
      </c>
      <c r="D18" s="207">
        <f>'Jun2025 '!D14-COUNTIF(E18:AI18, "SPL")</f>
        <v>0</v>
      </c>
      <c r="E18" s="208"/>
      <c r="F18" s="208"/>
      <c r="G18" s="210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18"/>
      <c r="X18" s="218"/>
      <c r="Y18" s="218"/>
      <c r="Z18" s="218"/>
      <c r="AA18" s="218"/>
      <c r="AB18" s="218"/>
      <c r="AC18" s="208"/>
      <c r="AD18" s="208"/>
      <c r="AE18" s="208"/>
      <c r="AF18" s="208"/>
      <c r="AG18" s="220"/>
      <c r="AH18" s="220"/>
      <c r="AI18" s="211"/>
      <c r="AJ18" s="203">
        <f t="shared" si="0"/>
        <v>0</v>
      </c>
    </row>
    <row r="19" spans="1:36" ht="17.25" customHeight="1" x14ac:dyDescent="0.2">
      <c r="A19" s="237" t="s">
        <v>180</v>
      </c>
      <c r="B19" s="205">
        <f>'Jul2025'!B15+1.25- (COUNTIF(E19:AI19, "VL") * 1) - (COUNTIF(E19:AI19, "HDL") * 0.5)</f>
        <v>11.5</v>
      </c>
      <c r="C19" s="206">
        <f>'Aug2025'!C18+'Oct2025 '!C21-COUNTIF(E19:AH19, "SL")-(COUNTIF(E19:AH19, "HDSL") * 0.5)</f>
        <v>3.9906666666666606</v>
      </c>
      <c r="D19" s="207">
        <f>'Jun2025 '!D15-COUNTIF(E19:AI19, "SPL")</f>
        <v>0</v>
      </c>
      <c r="E19" s="208"/>
      <c r="F19" s="208"/>
      <c r="G19" s="208"/>
      <c r="H19" s="208"/>
      <c r="I19" s="208"/>
      <c r="J19" s="208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18"/>
      <c r="X19" s="218"/>
      <c r="Y19" s="218"/>
      <c r="Z19" s="218"/>
      <c r="AA19" s="218"/>
      <c r="AB19" s="218"/>
      <c r="AC19" s="208"/>
      <c r="AD19" s="208"/>
      <c r="AE19" s="208"/>
      <c r="AF19" s="208"/>
      <c r="AG19" s="220"/>
      <c r="AH19" s="220"/>
      <c r="AI19" s="211"/>
      <c r="AJ19" s="203">
        <f t="shared" si="0"/>
        <v>0</v>
      </c>
    </row>
    <row r="20" spans="1:36" ht="17.25" customHeight="1" x14ac:dyDescent="0.2">
      <c r="A20" s="209" t="s">
        <v>181</v>
      </c>
      <c r="B20" s="205">
        <f>Sept2025!B18+1.25- (COUNTIF(E20:AI20, "VL") * 1) - (COUNTIF(E20:AI20, "HDL") * 0.5)</f>
        <v>6</v>
      </c>
      <c r="C20" s="206">
        <f>Sept2025!C18-COUNTIF(E20:AI20, "SL")-(COUNTIF(E20:AI20, "HDSL") * 0.5)</f>
        <v>0</v>
      </c>
      <c r="D20" s="207">
        <f>'Jun2025 '!D16-COUNTIF(E20:AI20, "SPL")</f>
        <v>0</v>
      </c>
      <c r="E20" s="208"/>
      <c r="F20" s="208"/>
      <c r="G20" s="208"/>
      <c r="H20" s="208"/>
      <c r="I20" s="208"/>
      <c r="J20" s="208" t="s">
        <v>172</v>
      </c>
      <c r="K20" s="208" t="s">
        <v>172</v>
      </c>
      <c r="L20" s="208" t="s">
        <v>172</v>
      </c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18"/>
      <c r="X20" s="218"/>
      <c r="Y20" s="218"/>
      <c r="Z20" s="218"/>
      <c r="AA20" s="218"/>
      <c r="AB20" s="218"/>
      <c r="AC20" s="208"/>
      <c r="AD20" s="208"/>
      <c r="AE20" s="208"/>
      <c r="AF20" s="208"/>
      <c r="AG20" s="220"/>
      <c r="AH20" s="220"/>
      <c r="AI20" s="211"/>
      <c r="AJ20" s="203">
        <f t="shared" si="0"/>
        <v>0</v>
      </c>
    </row>
    <row r="21" spans="1:36" ht="17.25" customHeight="1" x14ac:dyDescent="0.2">
      <c r="A21" s="209" t="s">
        <v>221</v>
      </c>
      <c r="B21" s="205">
        <f>Sept2025!B19+1.25- (COUNTIF(E21:AI21, "VL") * 1) - (COUNTIF(E21:AI21, "HDL") * 0.5)</f>
        <v>9.5</v>
      </c>
      <c r="C21" s="206">
        <f>Sept2025!C19-COUNTIF(E21:AI21, "SL")-(COUNTIF(E21:AI21, "HDSL") * 0.5)</f>
        <v>1.9953333333333303</v>
      </c>
      <c r="D21" s="207">
        <f>'Jun2025 '!D17-COUNTIF(E21:AI21, "SPL")</f>
        <v>0</v>
      </c>
      <c r="E21" s="208"/>
      <c r="F21" s="208"/>
      <c r="G21" s="208"/>
      <c r="H21" s="208"/>
      <c r="I21" s="208"/>
      <c r="J21" s="208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18"/>
      <c r="X21" s="218" t="s">
        <v>182</v>
      </c>
      <c r="Y21" s="218"/>
      <c r="Z21" s="218"/>
      <c r="AA21" s="218"/>
      <c r="AB21" s="218"/>
      <c r="AC21" s="208"/>
      <c r="AD21" s="208"/>
      <c r="AE21" s="208"/>
      <c r="AF21" s="208"/>
      <c r="AG21" s="222"/>
      <c r="AH21" s="222"/>
      <c r="AI21" s="211"/>
      <c r="AJ21" s="203">
        <f t="shared" si="0"/>
        <v>0</v>
      </c>
    </row>
    <row r="22" spans="1:36" ht="17.25" customHeight="1" x14ac:dyDescent="0.2">
      <c r="A22" s="209" t="s">
        <v>152</v>
      </c>
      <c r="B22" s="205">
        <f>Sept2025!B20+1.25- (COUNTIF(E22:AI22, "VL") * 1) - (COUNTIF(E22:AI22, "HDL") * 0.5)</f>
        <v>8.125</v>
      </c>
      <c r="C22" s="206">
        <f>Sept2025!C20-COUNTIF(E22:AI22, "SL")-(COUNTIF(E22:AI22, "HDSL") * 0.5)</f>
        <v>2</v>
      </c>
      <c r="D22" s="207">
        <f>'Jun2025 '!D18-COUNTIF(E22:AI22, "SPL")</f>
        <v>0</v>
      </c>
      <c r="E22" s="208"/>
      <c r="F22" s="208"/>
      <c r="G22" s="208"/>
      <c r="H22" s="208"/>
      <c r="I22" s="208"/>
      <c r="J22" s="208"/>
      <c r="K22" s="208"/>
      <c r="L22" s="208"/>
      <c r="M22" s="208"/>
      <c r="N22" s="208"/>
      <c r="O22" s="208"/>
      <c r="P22" s="208"/>
      <c r="Q22" s="208" t="s">
        <v>172</v>
      </c>
      <c r="R22" s="208"/>
      <c r="S22" s="208"/>
      <c r="T22" s="208"/>
      <c r="U22" s="208"/>
      <c r="V22" s="208"/>
      <c r="W22" s="218"/>
      <c r="X22" s="218"/>
      <c r="Y22" s="218"/>
      <c r="Z22" s="218"/>
      <c r="AA22" s="218"/>
      <c r="AB22" s="239" t="s">
        <v>182</v>
      </c>
      <c r="AC22" s="208"/>
      <c r="AD22" s="208"/>
      <c r="AE22" s="208"/>
      <c r="AF22" s="208" t="s">
        <v>172</v>
      </c>
      <c r="AG22" s="220" t="s">
        <v>172</v>
      </c>
      <c r="AH22" s="220"/>
      <c r="AI22" s="211"/>
      <c r="AJ22" s="203">
        <f t="shared" si="0"/>
        <v>0</v>
      </c>
    </row>
    <row r="23" spans="1:36" ht="17.25" customHeight="1" x14ac:dyDescent="0.2">
      <c r="A23" s="209" t="s">
        <v>170</v>
      </c>
      <c r="B23" s="205">
        <f>Sept2025!B21+1.25- (COUNTIF(E23:AI23, "VL") * 1) - (COUNTIF(E23:AI23, "HDL") * 0.5)</f>
        <v>5.5</v>
      </c>
      <c r="C23" s="206">
        <f>Sept2025!C21-COUNTIF(E23:AI23, "SL")-(COUNTIF(E23:AI23, "HDSL") * 0.5)</f>
        <v>0</v>
      </c>
      <c r="D23" s="207">
        <f>'Jun2025 '!D19-COUNTIF(E23:AI23, "SPL")</f>
        <v>0</v>
      </c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 t="s">
        <v>172</v>
      </c>
      <c r="V23" s="208"/>
      <c r="W23" s="218"/>
      <c r="X23" s="218"/>
      <c r="Y23" s="218"/>
      <c r="Z23" s="218"/>
      <c r="AA23" s="218"/>
      <c r="AB23" s="218"/>
      <c r="AC23" s="208"/>
      <c r="AD23" s="208"/>
      <c r="AE23" s="208"/>
      <c r="AF23" s="208"/>
      <c r="AG23" s="220"/>
      <c r="AH23" s="220"/>
      <c r="AI23" s="211"/>
      <c r="AJ23" s="203">
        <f t="shared" si="0"/>
        <v>0</v>
      </c>
    </row>
    <row r="24" spans="1:36" ht="17.25" customHeight="1" x14ac:dyDescent="0.2">
      <c r="A24" s="212" t="s">
        <v>334</v>
      </c>
      <c r="B24" s="205">
        <f>Sept2025!B22+1.25- (COUNTIF(E24:AI24, "VL") * 1) - (COUNTIF(E24:AI24, "HDL") * 0.5)</f>
        <v>13</v>
      </c>
      <c r="C24" s="206">
        <f>Sept2025!C22-COUNTIF(E24:AI24, "SL")-(COUNTIF(E24:AI24, "HDSL") * 0.5)</f>
        <v>1.1666666666666603</v>
      </c>
      <c r="D24" s="207">
        <f>'Jun2025 '!D20-COUNTIF(E24:AI24, "SPL")</f>
        <v>0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18"/>
      <c r="X24" s="218"/>
      <c r="Y24" s="218"/>
      <c r="Z24" s="218"/>
      <c r="AA24" s="218"/>
      <c r="AB24" s="218"/>
      <c r="AC24" s="208"/>
      <c r="AD24" s="208"/>
      <c r="AE24" s="208"/>
      <c r="AF24" s="208"/>
      <c r="AG24" s="220"/>
      <c r="AH24" s="220"/>
      <c r="AI24" s="211"/>
      <c r="AJ24" s="203">
        <f t="shared" si="0"/>
        <v>0</v>
      </c>
    </row>
    <row r="25" spans="1:36" ht="17.25" customHeight="1" x14ac:dyDescent="0.2">
      <c r="A25" s="209" t="s">
        <v>145</v>
      </c>
      <c r="B25" s="205">
        <f>Sept2025!B23+1.25- (COUNTIF(E25:AI25, "VL") * 1) - (COUNTIF(E25:AI25, "HDL") * 0.5)</f>
        <v>3.25</v>
      </c>
      <c r="C25" s="206">
        <f>Sept2025!C23-COUNTIF(E25:AI25, "SL")-(COUNTIF(E25:AI25, "HDSL") * 0.5)</f>
        <v>0</v>
      </c>
      <c r="D25" s="207">
        <f>'Jun2025 '!D21-COUNTIF(E25:AI25, "SPL")</f>
        <v>0</v>
      </c>
      <c r="E25" s="208"/>
      <c r="F25" s="208"/>
      <c r="G25" s="208"/>
      <c r="H25" s="208"/>
      <c r="I25" s="208"/>
      <c r="J25" s="218" t="s">
        <v>172</v>
      </c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18"/>
      <c r="X25" s="218" t="s">
        <v>172</v>
      </c>
      <c r="Y25" s="218"/>
      <c r="Z25" s="218"/>
      <c r="AA25" s="218" t="s">
        <v>172</v>
      </c>
      <c r="AB25" s="218"/>
      <c r="AC25" s="208"/>
      <c r="AD25" s="208"/>
      <c r="AE25" s="208"/>
      <c r="AF25" s="208"/>
      <c r="AG25" s="220"/>
      <c r="AH25" s="220"/>
      <c r="AI25" s="211"/>
      <c r="AJ25" s="203">
        <f t="shared" si="0"/>
        <v>0</v>
      </c>
    </row>
    <row r="26" spans="1:36" ht="17.25" customHeight="1" x14ac:dyDescent="0.2">
      <c r="A26" s="215" t="s">
        <v>357</v>
      </c>
      <c r="B26" s="205">
        <f>Sept2025!B24+1.25- (COUNTIF(E26:AI26, "VL") * 1) - (COUNTIF(E26:AI26, "HDL") * 0.5)</f>
        <v>9</v>
      </c>
      <c r="C26" s="206">
        <f>MIN(Sept2025!C24 + 0.416)-COUNTIF(E26:AI26, "SL")-(COUNTIF(E26:AI26, "HDSL") * 0.5)</f>
        <v>1.3319999999999999</v>
      </c>
      <c r="D26" s="207"/>
      <c r="E26" s="208"/>
      <c r="F26" s="208"/>
      <c r="G26" s="208"/>
      <c r="H26" s="208"/>
      <c r="I26" s="208"/>
      <c r="J26" s="208"/>
      <c r="K26" s="208"/>
      <c r="L26" s="208" t="s">
        <v>173</v>
      </c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18"/>
      <c r="X26" s="218"/>
      <c r="Y26" s="218"/>
      <c r="Z26" s="218"/>
      <c r="AA26" s="218"/>
      <c r="AB26" s="218"/>
      <c r="AC26" s="208"/>
      <c r="AD26" s="208"/>
      <c r="AE26" s="208"/>
      <c r="AF26" s="208"/>
      <c r="AG26" s="220"/>
      <c r="AH26" s="220"/>
      <c r="AI26" s="219" t="s">
        <v>173</v>
      </c>
      <c r="AJ26" s="203">
        <f t="shared" si="0"/>
        <v>2</v>
      </c>
    </row>
    <row r="27" spans="1:36" ht="17.25" customHeight="1" x14ac:dyDescent="0.2">
      <c r="A27" s="209" t="s">
        <v>349</v>
      </c>
      <c r="B27" s="205">
        <f>Sept2025!B25+1.25- (COUNTIF(E27:AI27, "VL") * 1) - (COUNTIF(E27:AI27, "HDL") * 0.5)</f>
        <v>11.75</v>
      </c>
      <c r="C27" s="206">
        <f>MIN(Sept2025!C25 + 0.416, 5)-COUNTIF(E27:AI27, "SL")-(COUNTIF(E27:AI27, "HDSL") * 0.5)</f>
        <v>3.5799999999999956</v>
      </c>
      <c r="D27" s="207">
        <f>'Jun2025 '!D22-COUNTIF(E27:AI27, "SPL")</f>
        <v>0</v>
      </c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18"/>
      <c r="X27" s="218"/>
      <c r="Y27" s="218"/>
      <c r="Z27" s="218"/>
      <c r="AA27" s="218"/>
      <c r="AB27" s="218"/>
      <c r="AC27" s="208"/>
      <c r="AD27" s="208"/>
      <c r="AE27" s="208"/>
      <c r="AF27" s="208"/>
      <c r="AG27" s="220"/>
      <c r="AH27" s="220"/>
      <c r="AI27" s="211"/>
      <c r="AJ27" s="203">
        <f t="shared" si="0"/>
        <v>0</v>
      </c>
    </row>
    <row r="28" spans="1:36" ht="17.25" customHeight="1" x14ac:dyDescent="0.2">
      <c r="A28" s="209" t="s">
        <v>150</v>
      </c>
      <c r="B28" s="205">
        <f>Sept2025!B26+1.25- (COUNTIF(E28:AI28, "VL") * 1) - (COUNTIF(E28:AI28, "HDL") * 0.5)</f>
        <v>5.75</v>
      </c>
      <c r="C28" s="206">
        <f>'Aug2025'!C26-COUNTIF(E28:AI28, "SL")-(COUNTIF(E28:AI28, "HDSL") * 0.5)</f>
        <v>0</v>
      </c>
      <c r="D28" s="207">
        <f>'Jun2025 '!D23-COUNTIF(E28:AI28, "SPL")</f>
        <v>0</v>
      </c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198"/>
      <c r="Q28" s="208"/>
      <c r="R28" s="208"/>
      <c r="S28" s="208"/>
      <c r="T28" s="208"/>
      <c r="U28" s="208"/>
      <c r="V28" s="208"/>
      <c r="W28" s="218"/>
      <c r="X28" s="218"/>
      <c r="Y28" s="218"/>
      <c r="Z28" s="218"/>
      <c r="AA28" s="218"/>
      <c r="AB28" s="218"/>
      <c r="AC28" s="208"/>
      <c r="AD28" s="208"/>
      <c r="AE28" s="208"/>
      <c r="AF28" s="208"/>
      <c r="AG28" s="220"/>
      <c r="AH28" s="220"/>
      <c r="AI28" s="211"/>
      <c r="AJ28" s="203">
        <f t="shared" si="0"/>
        <v>0</v>
      </c>
    </row>
    <row r="29" spans="1:36" ht="17.25" customHeight="1" x14ac:dyDescent="0.2">
      <c r="A29" s="237" t="s">
        <v>147</v>
      </c>
      <c r="B29" s="205">
        <f>Sept2025!B26+1.25- (COUNTIF(E29:AI29, "VL") * 1) - (COUNTIF(E29:AI29, "HDL") * 0.5)</f>
        <v>5.75</v>
      </c>
      <c r="C29" s="206">
        <f>'Jun2025 '!C24-COUNTIF(E29:AI29, "SL")-(COUNTIF(E29:AI29, "HDSL") * 0.5)</f>
        <v>5</v>
      </c>
      <c r="D29" s="207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198"/>
      <c r="Q29" s="208"/>
      <c r="R29" s="208"/>
      <c r="S29" s="208"/>
      <c r="T29" s="208"/>
      <c r="U29" s="208"/>
      <c r="V29" s="208"/>
      <c r="W29" s="218"/>
      <c r="X29" s="218"/>
      <c r="Y29" s="218"/>
      <c r="Z29" s="218"/>
      <c r="AA29" s="218"/>
      <c r="AB29" s="218"/>
      <c r="AC29" s="208"/>
      <c r="AD29" s="208"/>
      <c r="AE29" s="208"/>
      <c r="AF29" s="208"/>
      <c r="AG29" s="220"/>
      <c r="AH29" s="220"/>
      <c r="AI29" s="211"/>
      <c r="AJ29" s="203">
        <f t="shared" si="0"/>
        <v>0</v>
      </c>
    </row>
    <row r="30" spans="1:36" ht="17.25" customHeight="1" x14ac:dyDescent="0.2">
      <c r="A30" s="209" t="s">
        <v>168</v>
      </c>
      <c r="B30" s="205">
        <f>Sept2025!B28+1.25- (COUNTIF(E30:AI30, "VL") * 1) - (COUNTIF(E30:AI30, "HDL") * 0.5)</f>
        <v>-0.5</v>
      </c>
      <c r="C30" s="206">
        <f>Sept2025!C28-COUNTIF(E30:AI30, "SL")-(COUNTIF(E30:AI30, "HDSL") * 0.5)</f>
        <v>0</v>
      </c>
      <c r="D30" s="207">
        <f>'Jun2025 '!D25-COUNTIF(E30:AI30, "SPL")</f>
        <v>0</v>
      </c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18"/>
      <c r="X30" s="218" t="s">
        <v>172</v>
      </c>
      <c r="Y30" s="218" t="s">
        <v>172</v>
      </c>
      <c r="Z30" s="218" t="s">
        <v>172</v>
      </c>
      <c r="AA30" s="218" t="s">
        <v>172</v>
      </c>
      <c r="AB30" s="218"/>
      <c r="AC30" s="208"/>
      <c r="AD30" s="208"/>
      <c r="AE30" s="208"/>
      <c r="AF30" s="208"/>
      <c r="AG30" s="220"/>
      <c r="AH30" s="220"/>
      <c r="AI30" s="211"/>
      <c r="AJ30" s="203">
        <f t="shared" si="0"/>
        <v>0</v>
      </c>
    </row>
    <row r="31" spans="1:36" ht="17.25" customHeight="1" x14ac:dyDescent="0.2">
      <c r="A31" s="209" t="s">
        <v>156</v>
      </c>
      <c r="B31" s="205">
        <f>Sept2025!B29+1.25- (COUNTIF(E31:AI31, "VL") * 1) - (COUNTIF(E31:AI31, "HDL") * 0.5)</f>
        <v>6.25</v>
      </c>
      <c r="C31" s="206">
        <f>Sept2025!C29-COUNTIF(E31:AI31, "SL")-(COUNTIF(E31:AI31, "HDSL") * 0.5)</f>
        <v>0</v>
      </c>
      <c r="D31" s="207">
        <f>'Jun2025 '!D26-COUNTIF(E31:AI31, "SPL")</f>
        <v>0</v>
      </c>
      <c r="E31" s="208"/>
      <c r="F31" s="208"/>
      <c r="G31" s="208"/>
      <c r="H31" s="208"/>
      <c r="I31" s="208"/>
      <c r="J31" s="208"/>
      <c r="K31" s="208"/>
      <c r="L31" s="208"/>
      <c r="M31" s="208" t="s">
        <v>172</v>
      </c>
      <c r="N31" s="208"/>
      <c r="O31" s="208"/>
      <c r="P31" s="208"/>
      <c r="Q31" s="208"/>
      <c r="R31" s="208"/>
      <c r="S31" s="208"/>
      <c r="T31" s="208"/>
      <c r="U31" s="208"/>
      <c r="V31" s="208"/>
      <c r="W31" s="218"/>
      <c r="X31" s="218"/>
      <c r="Y31" s="218"/>
      <c r="Z31" s="218"/>
      <c r="AA31" s="218"/>
      <c r="AB31" s="218"/>
      <c r="AC31" s="208"/>
      <c r="AD31" s="208"/>
      <c r="AE31" s="208"/>
      <c r="AF31" s="208"/>
      <c r="AG31" s="220"/>
      <c r="AH31" s="220"/>
      <c r="AI31" s="211"/>
      <c r="AJ31" s="203">
        <f t="shared" si="0"/>
        <v>0</v>
      </c>
    </row>
    <row r="32" spans="1:36" ht="17.25" customHeight="1" x14ac:dyDescent="0.2">
      <c r="A32" s="209" t="s">
        <v>183</v>
      </c>
      <c r="B32" s="205">
        <f>Sept2025!B30+1.25- (COUNTIF(E32:AI32, "VL") * 1) - (COUNTIF(E32:AI32, "HDL") * 0.5)</f>
        <v>5.5</v>
      </c>
      <c r="C32" s="206">
        <f>Sept2025!C30-COUNTIF(E32:AI32, "SL")-(COUNTIF(E32:AI32, "HDSL") * 0.5)</f>
        <v>0</v>
      </c>
      <c r="D32" s="207">
        <f>'Jun2025 '!D27-COUNTIF(E32:AI32, "SPL")</f>
        <v>4</v>
      </c>
      <c r="E32" s="208"/>
      <c r="F32" s="208"/>
      <c r="G32" s="208"/>
      <c r="H32" s="208"/>
      <c r="I32" s="208"/>
      <c r="J32" s="208"/>
      <c r="K32" s="208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08"/>
      <c r="W32" s="218"/>
      <c r="X32" s="218"/>
      <c r="Y32" s="218"/>
      <c r="Z32" s="218"/>
      <c r="AA32" s="218"/>
      <c r="AB32" s="218"/>
      <c r="AC32" s="208"/>
      <c r="AD32" s="208"/>
      <c r="AE32" s="208"/>
      <c r="AF32" s="208"/>
      <c r="AG32" s="220"/>
      <c r="AH32" s="220"/>
      <c r="AI32" s="211"/>
      <c r="AJ32" s="203">
        <f t="shared" si="0"/>
        <v>0</v>
      </c>
    </row>
    <row r="33" spans="1:36" ht="17.25" customHeight="1" x14ac:dyDescent="0.2">
      <c r="A33" s="209" t="s">
        <v>350</v>
      </c>
      <c r="B33" s="205">
        <f>Sept2025!B31+1.25- (COUNTIF(E33:AI33, "VL") * 1) - (COUNTIF(E33:AI33, "HDL") * 0.5)</f>
        <v>9.75</v>
      </c>
      <c r="C33" s="206">
        <f>Sept2025!C31+0.416-COUNTIF(E33:AI33, "SL")-(COUNTIF(E33:AI33, "HDSL") * 0.5)</f>
        <v>4.1653333333333284</v>
      </c>
      <c r="D33" s="207">
        <f>'Jun2025 '!D28-COUNTIF(E33:AI33, "SPL")</f>
        <v>0</v>
      </c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18"/>
      <c r="X33" s="218"/>
      <c r="Y33" s="218"/>
      <c r="Z33" s="218"/>
      <c r="AA33" s="218"/>
      <c r="AB33" s="218"/>
      <c r="AC33" s="208"/>
      <c r="AD33" s="208"/>
      <c r="AE33" s="208"/>
      <c r="AF33" s="208"/>
      <c r="AG33" s="220"/>
      <c r="AH33" s="220"/>
      <c r="AI33" s="219" t="s">
        <v>172</v>
      </c>
      <c r="AJ33" s="203">
        <f t="shared" si="0"/>
        <v>0</v>
      </c>
    </row>
    <row r="34" spans="1:36" ht="17.25" customHeight="1" x14ac:dyDescent="0.2">
      <c r="A34" s="209" t="s">
        <v>146</v>
      </c>
      <c r="B34" s="205">
        <f>Sept2025!B32+1.25- (COUNTIF(E34:AI34, "VL") * 1) - (COUNTIF(E34:AI34, "HDL") * 0.5)</f>
        <v>1</v>
      </c>
      <c r="C34" s="206">
        <f>Sept2025!C32-COUNTIF(E34:AI34, "SL")-(COUNTIF(E34:AI34, "HDSL") * 0.5)</f>
        <v>0</v>
      </c>
      <c r="D34" s="207">
        <f>'Jun2025 '!D29-COUNTIF(E34:AI34, "SPL")</f>
        <v>0</v>
      </c>
      <c r="E34" s="208"/>
      <c r="F34" s="218"/>
      <c r="G34" s="208"/>
      <c r="H34" s="208"/>
      <c r="I34" s="208"/>
      <c r="J34" s="208"/>
      <c r="K34" s="208"/>
      <c r="L34" s="208"/>
      <c r="M34" s="208"/>
      <c r="N34" s="218"/>
      <c r="O34" s="208"/>
      <c r="P34" s="208"/>
      <c r="Q34" s="208"/>
      <c r="R34" s="208"/>
      <c r="S34" s="208" t="s">
        <v>172</v>
      </c>
      <c r="T34" s="208" t="s">
        <v>172</v>
      </c>
      <c r="U34" s="208"/>
      <c r="V34" s="208"/>
      <c r="W34" s="218"/>
      <c r="X34" s="218" t="s">
        <v>172</v>
      </c>
      <c r="Y34" s="218" t="s">
        <v>172</v>
      </c>
      <c r="Z34" s="218" t="s">
        <v>172</v>
      </c>
      <c r="AA34" s="218" t="s">
        <v>172</v>
      </c>
      <c r="AB34" s="218"/>
      <c r="AC34" s="208"/>
      <c r="AD34" s="208"/>
      <c r="AE34" s="208" t="s">
        <v>172</v>
      </c>
      <c r="AF34" s="208"/>
      <c r="AG34" s="220"/>
      <c r="AH34" s="220"/>
      <c r="AI34" s="211"/>
      <c r="AJ34" s="203">
        <f t="shared" si="0"/>
        <v>0</v>
      </c>
    </row>
    <row r="35" spans="1:36" ht="17.25" customHeight="1" x14ac:dyDescent="0.2">
      <c r="A35" s="204" t="s">
        <v>184</v>
      </c>
      <c r="B35" s="205">
        <f>Sept2025!B33+1.25- (COUNTIF(E35:AI35, "VL") * 1) - (COUNTIF(E35:AI35, "HDL") * 0.5)</f>
        <v>4</v>
      </c>
      <c r="C35" s="206">
        <f>Sept2025!C33-COUNTIF(E35:AI35, "SL")-(COUNTIF(E35:AI35, "HDSL") * 0.5)</f>
        <v>0</v>
      </c>
      <c r="D35" s="207">
        <f>'Jun2025 '!D30-COUNTIF(E35:AI35, "SPL")</f>
        <v>0</v>
      </c>
      <c r="E35" s="208"/>
      <c r="F35" s="208"/>
      <c r="G35" s="208"/>
      <c r="H35" s="208"/>
      <c r="I35" s="208"/>
      <c r="J35" s="208"/>
      <c r="K35" s="208"/>
      <c r="L35" s="208"/>
      <c r="M35" s="208"/>
      <c r="N35" s="208"/>
      <c r="O35" s="208"/>
      <c r="P35" s="208"/>
      <c r="Q35" s="208" t="s">
        <v>172</v>
      </c>
      <c r="R35" s="208"/>
      <c r="S35" s="208"/>
      <c r="T35" s="208"/>
      <c r="U35" s="208"/>
      <c r="V35" s="208"/>
      <c r="W35" s="218"/>
      <c r="X35" s="218"/>
      <c r="Y35" s="218"/>
      <c r="Z35" s="218"/>
      <c r="AA35" s="218"/>
      <c r="AB35" s="218"/>
      <c r="AC35" s="208"/>
      <c r="AD35" s="208"/>
      <c r="AE35" s="208"/>
      <c r="AF35" s="208"/>
      <c r="AG35" s="220"/>
      <c r="AH35" s="220"/>
      <c r="AI35" s="211"/>
      <c r="AJ35" s="203">
        <f t="shared" si="0"/>
        <v>0</v>
      </c>
    </row>
    <row r="36" spans="1:36" ht="17.25" customHeight="1" x14ac:dyDescent="0.2">
      <c r="A36" s="213" t="s">
        <v>351</v>
      </c>
      <c r="B36" s="205">
        <f>Sept2025!B34+1.25- (COUNTIF(E36:AI36, "VL") * 1) - (COUNTIF(E36:AI36, "HDL") * 0.5)</f>
        <v>12.75</v>
      </c>
      <c r="C36" s="206">
        <f>Sept2025!C34+0.416-COUNTIF(E36:AI36, "SL")-(COUNTIF(E36:AI36, "HDSL") * 0.5)</f>
        <v>4.5819999999999945</v>
      </c>
      <c r="D36" s="207">
        <f>'Jun2025 '!D31-COUNTIF(E36:AI36, "SPL")</f>
        <v>0</v>
      </c>
      <c r="E36" s="208"/>
      <c r="F36" s="208"/>
      <c r="G36" s="208"/>
      <c r="H36" s="208"/>
      <c r="I36" s="208"/>
      <c r="J36" s="208"/>
      <c r="K36" s="208"/>
      <c r="L36" s="208"/>
      <c r="M36" s="208"/>
      <c r="N36" s="208" t="s">
        <v>182</v>
      </c>
      <c r="O36" s="208"/>
      <c r="P36" s="208"/>
      <c r="Q36" s="208"/>
      <c r="R36" s="208"/>
      <c r="S36" s="208"/>
      <c r="T36" s="208"/>
      <c r="U36" s="208"/>
      <c r="V36" s="208"/>
      <c r="W36" s="218"/>
      <c r="X36" s="218"/>
      <c r="Y36" s="218"/>
      <c r="Z36" s="218"/>
      <c r="AA36" s="218"/>
      <c r="AB36" s="218"/>
      <c r="AC36" s="208"/>
      <c r="AD36" s="208"/>
      <c r="AE36" s="208"/>
      <c r="AF36" s="208"/>
      <c r="AG36" s="220"/>
      <c r="AH36" s="220"/>
      <c r="AI36" s="211"/>
      <c r="AJ36" s="203">
        <f t="shared" si="0"/>
        <v>0</v>
      </c>
    </row>
    <row r="37" spans="1:36" ht="17.25" customHeight="1" x14ac:dyDescent="0.2">
      <c r="A37" s="212" t="s">
        <v>335</v>
      </c>
      <c r="B37" s="205">
        <f>Sept2025!B35+1.25- (COUNTIF(E37:AI37, "VL") * 1) - (COUNTIF(E37:AI37, "HDL") * 0.5)</f>
        <v>10</v>
      </c>
      <c r="C37" s="206">
        <f>Sept2025!C35+0.416-COUNTIF(E37:AI37, "SL")-(COUNTIF(E37:AI37, "HDSL") * 0.5)</f>
        <v>2.4986666666666602</v>
      </c>
      <c r="D37" s="207">
        <f>'Jun2025 '!D32-COUNTIF(E37:AI37, "SPL")</f>
        <v>0</v>
      </c>
      <c r="E37" s="208"/>
      <c r="F37" s="208"/>
      <c r="G37" s="208"/>
      <c r="H37" s="208"/>
      <c r="I37" s="208"/>
      <c r="J37" s="208" t="s">
        <v>172</v>
      </c>
      <c r="K37" s="208" t="s">
        <v>172</v>
      </c>
      <c r="L37" s="208" t="s">
        <v>172</v>
      </c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18"/>
      <c r="X37" s="218"/>
      <c r="Y37" s="218"/>
      <c r="Z37" s="218"/>
      <c r="AA37" s="218"/>
      <c r="AB37" s="218"/>
      <c r="AC37" s="208"/>
      <c r="AD37" s="208"/>
      <c r="AE37" s="208"/>
      <c r="AF37" s="208"/>
      <c r="AG37" s="220"/>
      <c r="AH37" s="220"/>
      <c r="AI37" s="211"/>
      <c r="AJ37" s="203">
        <f t="shared" si="0"/>
        <v>0</v>
      </c>
    </row>
    <row r="38" spans="1:36" ht="17.25" customHeight="1" x14ac:dyDescent="0.2">
      <c r="A38" s="212" t="s">
        <v>336</v>
      </c>
      <c r="B38" s="205">
        <f>Sept2025!B36+1.25- (COUNTIF(E38:AI38, "VL") * 1) - (COUNTIF(E38:AI38, "HDL") * 0.5)</f>
        <v>13</v>
      </c>
      <c r="C38" s="206">
        <f>Sept2025!C36-COUNTIF(E38:AI38, "SL")-(COUNTIF(E38:AI38, "HDSL") * 0.5)</f>
        <v>0.1666666666666603</v>
      </c>
      <c r="D38" s="207">
        <f>'Jun2025 '!D33-COUNTIF(E38:AI38, "SPL")</f>
        <v>0</v>
      </c>
      <c r="E38" s="208"/>
      <c r="F38" s="208"/>
      <c r="G38" s="208"/>
      <c r="H38" s="208"/>
      <c r="I38" s="208"/>
      <c r="J38" s="208"/>
      <c r="K38" s="208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18"/>
      <c r="X38" s="218"/>
      <c r="Y38" s="218"/>
      <c r="Z38" s="218"/>
      <c r="AA38" s="218"/>
      <c r="AB38" s="218"/>
      <c r="AC38" s="208"/>
      <c r="AD38" s="208"/>
      <c r="AE38" s="208" t="s">
        <v>173</v>
      </c>
      <c r="AF38" s="208"/>
      <c r="AG38" s="220"/>
      <c r="AH38" s="220"/>
      <c r="AI38" s="211"/>
      <c r="AJ38" s="203">
        <f t="shared" si="0"/>
        <v>1</v>
      </c>
    </row>
    <row r="39" spans="1:36" ht="17.25" customHeight="1" x14ac:dyDescent="0.2">
      <c r="A39" s="204" t="s">
        <v>157</v>
      </c>
      <c r="B39" s="205">
        <f>Sept2025!B37+1.25- (COUNTIF(E39:AI39, "VL") * 1) - (COUNTIF(E39:AI39, "HDL") * 0.5)</f>
        <v>5.25</v>
      </c>
      <c r="C39" s="206">
        <f>Sept2025!C37-COUNTIF(E39:AI39, "SL")-(COUNTIF(E39:AI39, "HDSL") * 0.5)</f>
        <v>0</v>
      </c>
      <c r="D39" s="207">
        <f>'Jun2025 '!D34-COUNTIF(E39:AI39, "SPL")</f>
        <v>0</v>
      </c>
      <c r="E39" s="218"/>
      <c r="F39" s="208"/>
      <c r="G39" s="208"/>
      <c r="H39" s="208"/>
      <c r="I39" s="208"/>
      <c r="J39" s="208"/>
      <c r="K39" s="208"/>
      <c r="L39" s="208"/>
      <c r="M39" s="208"/>
      <c r="N39" s="208" t="s">
        <v>182</v>
      </c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08"/>
      <c r="AD39" s="208"/>
      <c r="AE39" s="208"/>
      <c r="AF39" s="208"/>
      <c r="AG39" s="220"/>
      <c r="AH39" s="220"/>
      <c r="AI39" s="211"/>
      <c r="AJ39" s="203">
        <f t="shared" si="0"/>
        <v>0</v>
      </c>
    </row>
    <row r="40" spans="1:36" ht="17.25" customHeight="1" x14ac:dyDescent="0.2">
      <c r="A40" s="204" t="s">
        <v>161</v>
      </c>
      <c r="B40" s="205">
        <f>Sept2025!B38+1.25- (COUNTIF(E40:AI40, "VL") * 1) - (COUNTIF(E40:AI40, "HDL") * 0.5)</f>
        <v>3</v>
      </c>
      <c r="C40" s="206">
        <f>Sept2025!C38-COUNTIF(E40:AI40, "SL")-(COUNTIF(E40:AI40, "HDSL") * 0.5)</f>
        <v>0</v>
      </c>
      <c r="D40" s="207">
        <f>'Jun2025 '!D35-COUNTIF(E40:AI40, "SPL")</f>
        <v>0</v>
      </c>
      <c r="E40" s="208"/>
      <c r="F40" s="208"/>
      <c r="G40" s="208"/>
      <c r="H40" s="208"/>
      <c r="I40" s="208"/>
      <c r="J40" s="208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  <c r="AA40" s="208"/>
      <c r="AB40" s="208"/>
      <c r="AC40" s="208"/>
      <c r="AD40" s="208"/>
      <c r="AE40" s="208"/>
      <c r="AF40" s="208"/>
      <c r="AG40" s="220"/>
      <c r="AH40" s="220" t="s">
        <v>172</v>
      </c>
      <c r="AI40" s="211"/>
      <c r="AJ40" s="203">
        <f t="shared" si="0"/>
        <v>0</v>
      </c>
    </row>
    <row r="41" spans="1:36" ht="17.25" customHeight="1" x14ac:dyDescent="0.2">
      <c r="A41" s="209" t="s">
        <v>338</v>
      </c>
      <c r="B41" s="205">
        <f>Sept2025!B39+1.25- (COUNTIF(E41:AI41, "VL") * 1) - (COUNTIF(E41:AI41, "HDL") * 0.5)</f>
        <v>10</v>
      </c>
      <c r="C41" s="206">
        <f>Sept2025!C39+0.416-COUNTIF(E41:AI41, "SL")-(COUNTIF(E41:AI41, "HDSL") * 0.5)</f>
        <v>2.4986666666666597</v>
      </c>
      <c r="D41" s="207">
        <f>'Jun2025 '!D36-COUNTIF(E41:AI41, "SPL")</f>
        <v>0</v>
      </c>
      <c r="E41" s="208" t="s">
        <v>172</v>
      </c>
      <c r="F41" s="208" t="s">
        <v>172</v>
      </c>
      <c r="G41" s="218" t="s">
        <v>172</v>
      </c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  <c r="AA41" s="208"/>
      <c r="AB41" s="208"/>
      <c r="AC41" s="208"/>
      <c r="AD41" s="208"/>
      <c r="AE41" s="208"/>
      <c r="AF41" s="208"/>
      <c r="AG41" s="220"/>
      <c r="AH41" s="220"/>
      <c r="AI41" s="211"/>
      <c r="AJ41" s="203">
        <f t="shared" si="0"/>
        <v>0</v>
      </c>
    </row>
    <row r="42" spans="1:36" ht="17.25" customHeight="1" x14ac:dyDescent="0.2">
      <c r="A42" s="209" t="s">
        <v>358</v>
      </c>
      <c r="B42" s="205">
        <f>Sept2025!B40+1.25-(COUNTIF(E42:AI42, "VL") * 1) - (COUNTIF(E42:AI42, "HDL") * 0.5)</f>
        <v>10</v>
      </c>
      <c r="C42" s="206">
        <f>MIN(Sept2025!C40+ 0.416, 5)-COUNTIF(E42:AI42, "SL")-(COUNTIF(E42:AI42, "HDSL") * 0.5)</f>
        <v>1.3359999999999999</v>
      </c>
      <c r="D42" s="207"/>
      <c r="E42" s="208"/>
      <c r="F42" s="208"/>
      <c r="G42" s="21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208" t="s">
        <v>173</v>
      </c>
      <c r="T42" s="208"/>
      <c r="U42" s="208"/>
      <c r="V42" s="208"/>
      <c r="W42" s="208"/>
      <c r="X42" s="208"/>
      <c r="Y42" s="208"/>
      <c r="Z42" s="208" t="s">
        <v>173</v>
      </c>
      <c r="AA42" s="208"/>
      <c r="AB42" s="208"/>
      <c r="AC42" s="208"/>
      <c r="AD42" s="208"/>
      <c r="AE42" s="208"/>
      <c r="AF42" s="208"/>
      <c r="AG42" s="220"/>
      <c r="AH42" s="220"/>
      <c r="AI42" s="211"/>
      <c r="AJ42" s="203">
        <f t="shared" si="0"/>
        <v>2</v>
      </c>
    </row>
    <row r="43" spans="1:36" ht="17.25" customHeight="1" x14ac:dyDescent="0.2">
      <c r="A43" s="238" t="s">
        <v>167</v>
      </c>
      <c r="B43" s="205">
        <f>Sept2025!B41+1.25-0.5- (COUNTIF(E43:AI43, "VL") * 1) - (COUNTIF(E43:AI43, "HDL") * 0.5)</f>
        <v>15.25</v>
      </c>
      <c r="C43" s="206">
        <f>Sept2025!C41-COUNTIF(E43:AI43, "SL")-(COUNTIF(E43:AI43, "HDSL") * 0.5)</f>
        <v>0.5</v>
      </c>
      <c r="D43" s="207">
        <f>'Jun2025 '!D37-COUNTIF(E43:AI43, "SPL")</f>
        <v>0</v>
      </c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18"/>
      <c r="V43" s="218"/>
      <c r="W43" s="218"/>
      <c r="X43" s="218"/>
      <c r="Y43" s="208"/>
      <c r="Z43" s="208"/>
      <c r="AA43" s="208"/>
      <c r="AB43" s="208"/>
      <c r="AC43" s="208"/>
      <c r="AD43" s="208"/>
      <c r="AE43" s="208"/>
      <c r="AF43" s="208"/>
      <c r="AG43" s="220"/>
      <c r="AH43" s="220"/>
      <c r="AI43" s="211"/>
      <c r="AJ43" s="203">
        <f t="shared" si="0"/>
        <v>0</v>
      </c>
    </row>
    <row r="44" spans="1:36" ht="17.25" customHeight="1" x14ac:dyDescent="0.2">
      <c r="A44" s="209" t="s">
        <v>353</v>
      </c>
      <c r="B44" s="205">
        <f>Sept2025!B42+1.25- (COUNTIF(E44:AI44, "VL") * 1) - (COUNTIF(E44:AI44, "HDL") * 0.5)</f>
        <v>8.75</v>
      </c>
      <c r="C44" s="206">
        <f>Sept2025!C42+0.416-COUNTIF(E44:AI44, "SL")-(COUNTIF(E44:AI44, "HDSL") * 0.5)</f>
        <v>2.5819999999999941</v>
      </c>
      <c r="D44" s="207">
        <f>'Jun2025 '!D38-COUNTIF(E44:AI44, "SPL")</f>
        <v>0</v>
      </c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 t="s">
        <v>172</v>
      </c>
      <c r="AA44" s="208"/>
      <c r="AB44" s="208"/>
      <c r="AC44" s="208"/>
      <c r="AD44" s="208"/>
      <c r="AE44" s="208"/>
      <c r="AF44" s="208"/>
      <c r="AG44" s="222"/>
      <c r="AH44" s="222"/>
      <c r="AI44" s="211"/>
      <c r="AJ44" s="203">
        <f t="shared" si="0"/>
        <v>0</v>
      </c>
    </row>
    <row r="45" spans="1:36" ht="17.25" customHeight="1" x14ac:dyDescent="0.2">
      <c r="A45" s="204" t="s">
        <v>159</v>
      </c>
      <c r="B45" s="205">
        <f>Sept2025!B43+1.25- (COUNTIF(E45:AI45, "VL") * 1) - (COUNTIF(E45:AI45, "HDL") * 0.5)</f>
        <v>8.5</v>
      </c>
      <c r="C45" s="206">
        <f>Sept2025!C43-COUNTIF(E45:AI45, "SL")-(COUNTIF(E45:AI45, "HDSL") * 0.5)</f>
        <v>0</v>
      </c>
      <c r="D45" s="207">
        <f>'Jun2025 '!D39-COUNTIF(E45:AI45, "SPL")</f>
        <v>0</v>
      </c>
      <c r="E45" s="208"/>
      <c r="F45" s="208"/>
      <c r="G45" s="208"/>
      <c r="H45" s="208"/>
      <c r="I45" s="208"/>
      <c r="J45" s="208"/>
      <c r="K45" s="208"/>
      <c r="L45" s="208"/>
      <c r="M45" s="208"/>
      <c r="N45" s="208"/>
      <c r="O45" s="208"/>
      <c r="P45" s="208"/>
      <c r="Q45" s="208"/>
      <c r="R45" s="208" t="s">
        <v>172</v>
      </c>
      <c r="S45" s="208" t="s">
        <v>172</v>
      </c>
      <c r="T45" s="208"/>
      <c r="U45" s="208"/>
      <c r="V45" s="208"/>
      <c r="W45" s="208"/>
      <c r="X45" s="208"/>
      <c r="Y45" s="208"/>
      <c r="Z45" s="208"/>
      <c r="AA45" s="208"/>
      <c r="AB45" s="208"/>
      <c r="AC45" s="208"/>
      <c r="AD45" s="208"/>
      <c r="AE45" s="208"/>
      <c r="AF45" s="208"/>
      <c r="AG45" s="220"/>
      <c r="AH45" s="220"/>
      <c r="AI45" s="211"/>
      <c r="AJ45" s="203">
        <f t="shared" si="0"/>
        <v>0</v>
      </c>
    </row>
    <row r="46" spans="1:36" ht="17.25" customHeight="1" x14ac:dyDescent="0.2">
      <c r="A46" s="204" t="s">
        <v>223</v>
      </c>
      <c r="B46" s="205">
        <f>Sept2025!B44+1.25- (COUNTIF(E46:AI46, "VL") * 1) - (COUNTIF(E46:AI46, "HDL") * 0.5)</f>
        <v>10.5</v>
      </c>
      <c r="C46" s="206">
        <f>Sept2025!C44-COUNTIF(E46:AI46, "SL")-(COUNTIF(E46:AI46, "HDSL") * 0.5)</f>
        <v>3.4959999999999964</v>
      </c>
      <c r="D46" s="207">
        <f>'Jun2025 '!D40-COUNTIF(E46:AI46, "SPL")</f>
        <v>0</v>
      </c>
      <c r="E46" s="208"/>
      <c r="F46" s="208"/>
      <c r="G46" s="208"/>
      <c r="H46" s="208"/>
      <c r="I46" s="208"/>
      <c r="J46" s="208"/>
      <c r="K46" s="208"/>
      <c r="L46" s="208"/>
      <c r="M46" s="208"/>
      <c r="N46" s="208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  <c r="AA46" s="208"/>
      <c r="AB46" s="208"/>
      <c r="AC46" s="208"/>
      <c r="AD46" s="208"/>
      <c r="AE46" s="208"/>
      <c r="AF46" s="208"/>
      <c r="AG46" s="220"/>
      <c r="AH46" s="220"/>
      <c r="AI46" s="211"/>
      <c r="AJ46" s="203">
        <f t="shared" si="0"/>
        <v>0</v>
      </c>
    </row>
    <row r="47" spans="1:36" ht="17.25" customHeight="1" x14ac:dyDescent="0.2">
      <c r="A47" s="215" t="s">
        <v>359</v>
      </c>
      <c r="B47" s="205">
        <f>Sept2025!B45+1.25- (COUNTIF(E47:AI47, "VL") * 1) - (COUNTIF(E47:AI47, "HDL") * 0.5)</f>
        <v>7</v>
      </c>
      <c r="C47" s="206">
        <f>MIN(Sept2025!C45+0.416)-COUNTIF(E47:AI47, "SL")-(COUNTIF(E47:AI47, "HDSL") * 0.5)</f>
        <v>3.3319999999999999</v>
      </c>
      <c r="D47" s="207"/>
      <c r="E47" s="208"/>
      <c r="F47" s="208"/>
      <c r="G47" s="208"/>
      <c r="H47" s="208"/>
      <c r="I47" s="208"/>
      <c r="J47" s="208"/>
      <c r="K47" s="208"/>
      <c r="L47" s="208"/>
      <c r="M47" s="208"/>
      <c r="N47" s="208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  <c r="AA47" s="208"/>
      <c r="AB47" s="208"/>
      <c r="AC47" s="208"/>
      <c r="AD47" s="208"/>
      <c r="AE47" s="208" t="s">
        <v>172</v>
      </c>
      <c r="AF47" s="208"/>
      <c r="AG47" s="220"/>
      <c r="AH47" s="220" t="s">
        <v>172</v>
      </c>
      <c r="AI47" s="208" t="s">
        <v>172</v>
      </c>
      <c r="AJ47" s="203">
        <f t="shared" si="0"/>
        <v>0</v>
      </c>
    </row>
    <row r="48" spans="1:36" ht="17.25" customHeight="1" x14ac:dyDescent="0.2">
      <c r="A48" s="204" t="s">
        <v>185</v>
      </c>
      <c r="B48" s="205">
        <f>Sept2025!B46+1.25- (COUNTIF(E48:AI48, "VL") * 1) - (COUNTIF(E48:AI48, "HDL") * 0.5)</f>
        <v>4</v>
      </c>
      <c r="C48" s="206">
        <f>Sept2025!C46-COUNTIF(E48:AI48, "SL")-(COUNTIF(E48:AI48, "HDSL") * 0.5)</f>
        <v>1</v>
      </c>
      <c r="D48" s="207">
        <f>'Jun2025 '!D41-COUNTIF(E48:AI48, "SPL")</f>
        <v>0</v>
      </c>
      <c r="E48" s="208"/>
      <c r="F48" s="208"/>
      <c r="G48" s="208"/>
      <c r="H48" s="208"/>
      <c r="I48" s="208"/>
      <c r="J48" s="208"/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/>
      <c r="W48" s="208"/>
      <c r="X48" s="208" t="s">
        <v>172</v>
      </c>
      <c r="Y48" s="208" t="s">
        <v>172</v>
      </c>
      <c r="Z48" s="208" t="s">
        <v>172</v>
      </c>
      <c r="AA48" s="208" t="s">
        <v>172</v>
      </c>
      <c r="AB48" s="208" t="s">
        <v>172</v>
      </c>
      <c r="AC48" s="208"/>
      <c r="AD48" s="208"/>
      <c r="AE48" s="208"/>
      <c r="AF48" s="208"/>
      <c r="AG48" s="220"/>
      <c r="AH48" s="220"/>
      <c r="AI48" s="219" t="s">
        <v>173</v>
      </c>
      <c r="AJ48" s="203">
        <f t="shared" si="0"/>
        <v>1</v>
      </c>
    </row>
    <row r="49" spans="1:36" ht="15.75" customHeight="1" x14ac:dyDescent="0.2">
      <c r="A49" s="215" t="s">
        <v>360</v>
      </c>
      <c r="B49" s="205">
        <f>Sept2025!B47+1.25- (COUNTIF(E49:AI49, "VL") * 1) - (COUNTIF(E49:AI49, "HDL") * 0.5)</f>
        <v>5</v>
      </c>
      <c r="C49" s="206">
        <f>MIN(Sept2025!C47 +0.416, 5)-COUNTIF(E49:AI49, "SL")-(COUNTIF(E49:AI49, "HDSL") * 0.5)</f>
        <v>0.33199999999999985</v>
      </c>
      <c r="D49" s="207"/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18" t="s">
        <v>172</v>
      </c>
      <c r="T49" s="208" t="s">
        <v>173</v>
      </c>
      <c r="U49" s="208" t="s">
        <v>172</v>
      </c>
      <c r="V49" s="208"/>
      <c r="W49" s="208"/>
      <c r="X49" s="208" t="s">
        <v>172</v>
      </c>
      <c r="Y49" s="208"/>
      <c r="Z49" s="208"/>
      <c r="AA49" s="208"/>
      <c r="AB49" s="208"/>
      <c r="AC49" s="208"/>
      <c r="AD49" s="208"/>
      <c r="AE49" s="208"/>
      <c r="AF49" s="208"/>
      <c r="AG49" s="220"/>
      <c r="AH49" s="220"/>
      <c r="AI49" s="211"/>
      <c r="AJ49" s="203">
        <f t="shared" si="0"/>
        <v>1</v>
      </c>
    </row>
    <row r="50" spans="1:36" ht="15.75" customHeight="1" x14ac:dyDescent="0.2">
      <c r="A50" s="204" t="s">
        <v>148</v>
      </c>
      <c r="B50" s="205">
        <f>Sept2025!B48+1.25- (COUNTIF(E50:AI50, "VL") * 1) - (COUNTIF(E50:AI50, "HDL") * 0.5)</f>
        <v>11</v>
      </c>
      <c r="C50" s="206">
        <f>'May2025 '!C42-COUNTIF(E50:AI50, "SL")-(COUNTIF(E50:AI50, "HDSL") * 0.5)</f>
        <v>0.5</v>
      </c>
      <c r="D50" s="207">
        <f>'Jun2025 '!D42-COUNTIF(E50:AI50, "SPL")</f>
        <v>0</v>
      </c>
      <c r="E50" s="208"/>
      <c r="F50" s="208"/>
      <c r="G50" s="208"/>
      <c r="H50" s="208"/>
      <c r="I50" s="208"/>
      <c r="J50" s="208"/>
      <c r="K50" s="208"/>
      <c r="L50" s="208"/>
      <c r="M50" s="208"/>
      <c r="N50" s="208"/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208"/>
      <c r="Z50" s="208"/>
      <c r="AA50" s="208"/>
      <c r="AB50" s="208" t="s">
        <v>173</v>
      </c>
      <c r="AC50" s="208"/>
      <c r="AD50" s="208"/>
      <c r="AE50" s="208"/>
      <c r="AF50" s="208"/>
      <c r="AG50" s="220"/>
      <c r="AH50" s="220"/>
      <c r="AI50" s="211"/>
      <c r="AJ50" s="203">
        <f t="shared" si="0"/>
        <v>1</v>
      </c>
    </row>
    <row r="51" spans="1:36" ht="15.75" customHeight="1" x14ac:dyDescent="0.2">
      <c r="A51" s="237" t="s">
        <v>171</v>
      </c>
      <c r="B51" s="205">
        <f>Sept2025!B49+1.25- (COUNTIF(E51:AI51, "VL") * 1) - (COUNTIF(E51:AI51, "HDL") * 0.5)</f>
        <v>25.25</v>
      </c>
      <c r="C51" s="206">
        <f>'May2025 '!C43-COUNTIF(E51:AI51, "SL")-(COUNTIF(E51:AI51, "HDSL") * 0.5)</f>
        <v>3</v>
      </c>
      <c r="D51" s="207">
        <f>'Jun2025 '!D43-COUNTIF(E51:AI51, "SPL")</f>
        <v>0</v>
      </c>
      <c r="E51" s="208"/>
      <c r="F51" s="208"/>
      <c r="G51" s="208"/>
      <c r="H51" s="208"/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  <c r="AA51" s="208"/>
      <c r="AB51" s="208"/>
      <c r="AC51" s="208"/>
      <c r="AD51" s="208"/>
      <c r="AE51" s="208"/>
      <c r="AF51" s="208"/>
      <c r="AG51" s="220"/>
      <c r="AH51" s="220"/>
      <c r="AI51" s="211"/>
      <c r="AJ51" s="203">
        <f t="shared" si="0"/>
        <v>0</v>
      </c>
    </row>
    <row r="52" spans="1:36" ht="15.75" customHeight="1" x14ac:dyDescent="0.2">
      <c r="A52" s="204" t="s">
        <v>186</v>
      </c>
      <c r="B52" s="205">
        <f>Sept2025!B50+1.25- (COUNTIF(E52:AI52, "VL") * 1) - (COUNTIF(E52:AI52, "HDL") * 0.5)</f>
        <v>13</v>
      </c>
      <c r="C52" s="206">
        <f>'Jul2025'!C44-COUNTIF(E52:AI52, "SL")-(COUNTIF(E52:AI52, "HDSL") * 0.5)</f>
        <v>4.5</v>
      </c>
      <c r="D52" s="207">
        <f>'Jun2025 '!D44-COUNTIF(E52:AI52, "SPL")</f>
        <v>0</v>
      </c>
      <c r="E52" s="208"/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  <c r="AA52" s="208"/>
      <c r="AB52" s="208"/>
      <c r="AC52" s="208"/>
      <c r="AD52" s="208"/>
      <c r="AE52" s="208"/>
      <c r="AF52" s="208"/>
      <c r="AG52" s="220"/>
      <c r="AH52" s="220"/>
      <c r="AI52" s="211"/>
      <c r="AJ52" s="203">
        <f t="shared" si="0"/>
        <v>0</v>
      </c>
    </row>
    <row r="53" spans="1:36" ht="15.75" customHeight="1" x14ac:dyDescent="0.2">
      <c r="A53" s="215" t="s">
        <v>361</v>
      </c>
      <c r="B53" s="205">
        <f>Sept2025!B51+1.25- (COUNTIF(E53:AI53, "VL") * 1) - (COUNTIF(E53:AI53, "HDL") * 0.5)</f>
        <v>5</v>
      </c>
      <c r="C53" s="206">
        <f>MIN(Sept2025!C51 + 0.416, 5)-COUNTIF(E53:AI53, "SL")-(COUNTIF(E53:AI53, "HDSL") * 0.5)</f>
        <v>3.3319999999999999</v>
      </c>
      <c r="D53" s="207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  <c r="AA53" s="208"/>
      <c r="AB53" s="208"/>
      <c r="AC53" s="208"/>
      <c r="AD53" s="208"/>
      <c r="AE53" s="208"/>
      <c r="AF53" s="208"/>
      <c r="AG53" s="220"/>
      <c r="AH53" s="220"/>
      <c r="AI53" s="211"/>
      <c r="AJ53" s="203">
        <f t="shared" si="0"/>
        <v>0</v>
      </c>
    </row>
    <row r="54" spans="1:36" ht="15.75" customHeight="1" x14ac:dyDescent="0.2">
      <c r="A54" s="209" t="s">
        <v>188</v>
      </c>
      <c r="B54" s="205">
        <f>Sept2025!B52+1.25- (COUNTIF(E54:AI54, "VL") * 1) - (COUNTIF(E54:AI54, "HDL") * 0.5)</f>
        <v>-1.5</v>
      </c>
      <c r="C54" s="206">
        <f>Sept2025!C52-COUNTIF(E54:AI54, "SL")-(COUNTIF(E54:AI54, "HDSL") * 0.5)</f>
        <v>0</v>
      </c>
      <c r="D54" s="207">
        <f>'Jun2025 '!D45-COUNTIF(E54:AI54, "SPL")</f>
        <v>0</v>
      </c>
      <c r="E54" s="208"/>
      <c r="F54" s="208"/>
      <c r="G54" s="208"/>
      <c r="H54" s="208"/>
      <c r="I54" s="208"/>
      <c r="J54" s="208" t="s">
        <v>172</v>
      </c>
      <c r="K54" s="208" t="s">
        <v>172</v>
      </c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 t="s">
        <v>172</v>
      </c>
      <c r="AA54" s="208"/>
      <c r="AB54" s="208"/>
      <c r="AC54" s="208"/>
      <c r="AD54" s="208"/>
      <c r="AE54" s="208"/>
      <c r="AF54" s="208"/>
      <c r="AG54" s="220"/>
      <c r="AH54" s="220"/>
      <c r="AI54" s="211"/>
      <c r="AJ54" s="203">
        <f t="shared" si="0"/>
        <v>0</v>
      </c>
    </row>
    <row r="55" spans="1:36" ht="15.75" customHeight="1" x14ac:dyDescent="0.2">
      <c r="A55" s="204" t="s">
        <v>187</v>
      </c>
      <c r="B55" s="205">
        <f>Sept2025!B53+1.25- (COUNTIF(E55:AI55, "VL") * 1) - (COUNTIF(E55:AI55, "HDL") * 0.5)</f>
        <v>10.75</v>
      </c>
      <c r="C55" s="206">
        <f>'Jul2025'!C46-COUNTIF(E55:AI55, "SL")-(COUNTIF(E55:AI55, "HDSL") * 0.5)</f>
        <v>2</v>
      </c>
      <c r="D55" s="207">
        <f>'Jun2025 '!D46-COUNTIF(E55:AI55, "SPL")</f>
        <v>0</v>
      </c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 t="s">
        <v>172</v>
      </c>
      <c r="AA55" s="208" t="s">
        <v>172</v>
      </c>
      <c r="AB55" s="208"/>
      <c r="AC55" s="208"/>
      <c r="AD55" s="208"/>
      <c r="AE55" s="208"/>
      <c r="AF55" s="208"/>
      <c r="AG55" s="220"/>
      <c r="AH55" s="220"/>
      <c r="AI55" s="211"/>
      <c r="AJ55" s="203">
        <f t="shared" si="0"/>
        <v>0</v>
      </c>
    </row>
    <row r="56" spans="1:36" ht="15.75" customHeight="1" x14ac:dyDescent="0.2">
      <c r="A56" s="209" t="s">
        <v>219</v>
      </c>
      <c r="B56" s="205">
        <f>Sept2025!B54+1.25- (COUNTIF(E56:AI56, "VL") * 1) - (COUNTIF(E56:AI56, "HDL") * 0.5)</f>
        <v>18.25</v>
      </c>
      <c r="C56" s="206">
        <f>'May2025 '!C47-COUNTIF(E56:AI56, "SL")-(COUNTIF(E56:AI56, "HDSL") * 0.5)</f>
        <v>7.4999999999999964</v>
      </c>
      <c r="D56" s="207">
        <f>'Jun2025 '!D47-COUNTIF(E56:AI56, "SPL")</f>
        <v>0</v>
      </c>
      <c r="E56" s="208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  <c r="Z56" s="208"/>
      <c r="AA56" s="208"/>
      <c r="AB56" s="208"/>
      <c r="AC56" s="208"/>
      <c r="AD56" s="208"/>
      <c r="AE56" s="208"/>
      <c r="AF56" s="208"/>
      <c r="AG56" s="220"/>
      <c r="AH56" s="220" t="s">
        <v>172</v>
      </c>
      <c r="AI56" s="219" t="s">
        <v>172</v>
      </c>
      <c r="AJ56" s="203">
        <f t="shared" si="0"/>
        <v>0</v>
      </c>
    </row>
    <row r="57" spans="1:36" ht="15.75" customHeight="1" x14ac:dyDescent="0.2">
      <c r="A57" s="215" t="s">
        <v>362</v>
      </c>
      <c r="B57" s="205">
        <f>Sept2025!B55+1.25- (COUNTIF(E57:AI57, "VL") * 1) - (COUNTIF(E57:AI57, "HDL") * 0.5)</f>
        <v>9</v>
      </c>
      <c r="C57" s="206">
        <f>MIN(Sept2025!C55+0.416)-COUNTIF(E57:AI57, "SL")-(COUNTIF(E57:AI57, "HDSL") * 0.5)</f>
        <v>3.3319999999999999</v>
      </c>
      <c r="D57" s="207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  <c r="AA57" s="208"/>
      <c r="AB57" s="208" t="s">
        <v>172</v>
      </c>
      <c r="AC57" s="208"/>
      <c r="AD57" s="208"/>
      <c r="AE57" s="208"/>
      <c r="AF57" s="208"/>
      <c r="AG57" s="220"/>
      <c r="AH57" s="220"/>
      <c r="AI57" s="211"/>
      <c r="AJ57" s="203">
        <f t="shared" si="0"/>
        <v>0</v>
      </c>
    </row>
    <row r="58" spans="1:36" ht="16.5" customHeight="1" x14ac:dyDescent="0.2">
      <c r="A58" s="204" t="s">
        <v>154</v>
      </c>
      <c r="B58" s="205">
        <f>Sept2025!B56+1.25- (COUNTIF(E58:AI58, "VL") * 1) - (COUNTIF(E58:AI58, "HDL") * 0.5)</f>
        <v>3.5</v>
      </c>
      <c r="C58" s="206">
        <f>MIN('Aug2025'!C54 + 0.416)-COUNTIF(E57:AI457, "SL")-(COUNTIF(E57:AI57, "HDSL") * 0.5)</f>
        <v>0.91599999999999993</v>
      </c>
      <c r="D58" s="207">
        <f>'Jun2025 '!D48-COUNTIF(E58:AI58, "SPL")</f>
        <v>0</v>
      </c>
      <c r="E58" s="208"/>
      <c r="F58" s="208"/>
      <c r="G58" s="208"/>
      <c r="H58" s="208"/>
      <c r="I58" s="208"/>
      <c r="J58" s="208"/>
      <c r="K58" s="208"/>
      <c r="L58" s="208"/>
      <c r="M58" s="208"/>
      <c r="N58" s="208"/>
      <c r="O58" s="208"/>
      <c r="P58" s="208"/>
      <c r="Q58" s="208"/>
      <c r="R58" s="208"/>
      <c r="S58" s="208"/>
      <c r="T58" s="208"/>
      <c r="U58" s="208" t="s">
        <v>173</v>
      </c>
      <c r="V58" s="208" t="s">
        <v>172</v>
      </c>
      <c r="W58" s="208"/>
      <c r="X58" s="208"/>
      <c r="Y58" s="208"/>
      <c r="Z58" s="208"/>
      <c r="AA58" s="208"/>
      <c r="AB58" s="208"/>
      <c r="AC58" s="208"/>
      <c r="AD58" s="208"/>
      <c r="AE58" s="208"/>
      <c r="AF58" s="208"/>
      <c r="AG58" s="220"/>
      <c r="AH58" s="220"/>
      <c r="AI58" s="211"/>
      <c r="AJ58" s="203">
        <f t="shared" si="0"/>
        <v>1</v>
      </c>
    </row>
    <row r="59" spans="1:36" ht="16.5" customHeight="1" x14ac:dyDescent="0.2">
      <c r="A59" s="204" t="s">
        <v>189</v>
      </c>
      <c r="B59" s="205">
        <f>Sept2025!B57+1.25- (COUNTIF(E59:AI59, "VL") * 1) - (COUNTIF(E59:AI59, "HDL") * 0.5)</f>
        <v>11.5</v>
      </c>
      <c r="C59" s="206">
        <f>Sept2025!C57-COUNTIF(E59:AI59, "SL")-(COUNTIF(E59:AI59, "HDSL") * 0.5)</f>
        <v>2</v>
      </c>
      <c r="D59" s="207">
        <f>'Jun2025 '!D49-COUNTIF(E59:AI59, "SPL")</f>
        <v>0</v>
      </c>
      <c r="E59" s="208"/>
      <c r="F59" s="208"/>
      <c r="G59" s="208"/>
      <c r="H59" s="208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  <c r="AA59" s="208"/>
      <c r="AB59" s="208"/>
      <c r="AC59" s="208"/>
      <c r="AD59" s="208"/>
      <c r="AE59" s="208"/>
      <c r="AF59" s="208"/>
      <c r="AG59" s="222"/>
      <c r="AH59" s="222"/>
      <c r="AI59" s="211"/>
      <c r="AJ59" s="203">
        <f t="shared" si="0"/>
        <v>0</v>
      </c>
    </row>
    <row r="60" spans="1:36" ht="16.5" customHeight="1" x14ac:dyDescent="0.2">
      <c r="A60" s="204" t="s">
        <v>354</v>
      </c>
      <c r="B60" s="205">
        <f>Sept2025!B58+1.25- (COUNTIF(E60:AI60, "VL") * 1) - (COUNTIF(E60:AI60, "HDL") * 0.5)</f>
        <v>13.75</v>
      </c>
      <c r="C60" s="206">
        <f>Sept2025!C58+0.416-COUNTIF(E60:AI60, "SL")-(COUNTIF(E60:AI60, "HDSL") * 0.5)</f>
        <v>1.5806666666666618</v>
      </c>
      <c r="D60" s="207">
        <f>'Jun2025 '!D50-COUNTIF(E60:AI60, "SPL")</f>
        <v>0</v>
      </c>
      <c r="E60" s="208"/>
      <c r="F60" s="208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 t="s">
        <v>173</v>
      </c>
      <c r="Y60" s="208"/>
      <c r="Z60" s="208"/>
      <c r="AA60" s="208"/>
      <c r="AB60" s="208"/>
      <c r="AC60" s="208"/>
      <c r="AD60" s="208"/>
      <c r="AE60" s="208"/>
      <c r="AF60" s="208"/>
      <c r="AG60" s="222"/>
      <c r="AH60" s="222"/>
      <c r="AI60" s="211"/>
      <c r="AJ60" s="203">
        <f t="shared" si="0"/>
        <v>1</v>
      </c>
    </row>
    <row r="61" spans="1:36" ht="16.5" customHeight="1" x14ac:dyDescent="0.2">
      <c r="A61" s="215" t="s">
        <v>363</v>
      </c>
      <c r="B61" s="205">
        <f>Sept2025!B59+1.25- (COUNTIF(E61:AI61, "VL") * 1) - (COUNTIF(E61:AI61, "HDL") * 0.5)</f>
        <v>10.25</v>
      </c>
      <c r="C61" s="206">
        <f>MIN(Sept2025!C59 + 0.416)-COUNTIF(E61:AI61, "SL")-(COUNTIF(E61:AI61, "HDSL") * 0.5)</f>
        <v>3.7479999999999998</v>
      </c>
      <c r="D61" s="207">
        <f>'Jun2025 '!D51-COUNTIF(E61:AI61, "SPL")</f>
        <v>0</v>
      </c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P61" s="216"/>
      <c r="Q61" s="216" t="s">
        <v>172</v>
      </c>
      <c r="R61" s="216"/>
      <c r="S61" s="216"/>
      <c r="T61" s="216"/>
      <c r="U61" s="216"/>
      <c r="V61" s="216"/>
      <c r="W61" s="216"/>
      <c r="X61" s="216"/>
      <c r="Y61" s="216"/>
      <c r="Z61" s="216"/>
      <c r="AA61" s="216"/>
      <c r="AB61" s="216"/>
      <c r="AC61" s="216"/>
      <c r="AD61" s="216"/>
      <c r="AE61" s="216"/>
      <c r="AF61" s="216"/>
      <c r="AG61" s="226"/>
      <c r="AH61" s="222"/>
      <c r="AI61" s="211"/>
      <c r="AJ61" s="203">
        <f t="shared" si="0"/>
        <v>0</v>
      </c>
    </row>
    <row r="62" spans="1:36" ht="16.5" customHeight="1" x14ac:dyDescent="0.2">
      <c r="A62" s="204" t="s">
        <v>155</v>
      </c>
      <c r="B62" s="205">
        <f>Sept2025!B60+1.25- (COUNTIF(E62:AI62, "VL") * 1) - (COUNTIF(E62:AI62, "HDL") * 0.5)</f>
        <v>3.75</v>
      </c>
      <c r="C62" s="206">
        <f>Sept2025!C60-COUNTIF(E62:AI62, "SL")-(COUNTIF(E62:AI62, "HDSL") * 0.5)</f>
        <v>0</v>
      </c>
      <c r="D62" s="207">
        <f>'Jun2025 '!D51-COUNTIF(E62:AI62, "SPL")</f>
        <v>0</v>
      </c>
      <c r="E62" s="216"/>
      <c r="F62" s="216"/>
      <c r="G62" s="216"/>
      <c r="H62" s="216"/>
      <c r="I62" s="216"/>
      <c r="J62" s="216"/>
      <c r="K62" s="216"/>
      <c r="L62" s="216"/>
      <c r="M62" s="216"/>
      <c r="N62" s="216" t="s">
        <v>172</v>
      </c>
      <c r="O62" s="216"/>
      <c r="P62" s="216"/>
      <c r="Q62" s="216"/>
      <c r="R62" s="216"/>
      <c r="S62" s="216"/>
      <c r="T62" s="216" t="s">
        <v>172</v>
      </c>
      <c r="U62" s="216"/>
      <c r="V62" s="216"/>
      <c r="W62" s="216"/>
      <c r="X62" s="216"/>
      <c r="Y62" s="216"/>
      <c r="Z62" s="216"/>
      <c r="AA62" s="216"/>
      <c r="AB62" s="216"/>
      <c r="AC62" s="216"/>
      <c r="AD62" s="216"/>
      <c r="AE62" s="216"/>
      <c r="AF62" s="216"/>
      <c r="AG62" s="223"/>
      <c r="AH62" s="220"/>
      <c r="AI62" s="211"/>
      <c r="AJ62" s="203">
        <f t="shared" si="0"/>
        <v>0</v>
      </c>
    </row>
    <row r="63" spans="1:36" ht="16.5" customHeight="1" x14ac:dyDescent="0.2">
      <c r="A63" s="204" t="s">
        <v>224</v>
      </c>
      <c r="B63" s="205">
        <f>Sept2025!B61+1.25- (COUNTIF(E63:AI63, "VL") * 1) - (COUNTIF(E63:AI63, "HDL") * 0.5)</f>
        <v>13.5</v>
      </c>
      <c r="C63" s="206">
        <f ca="1">Sept2025!C61-COUNTIF(E63:AI63, "SL")-(COUNTIF(E63:AI63, "HDSL") * 0.5)</f>
        <v>0</v>
      </c>
      <c r="D63" s="207">
        <f>'Jun2025 '!D52-COUNTIF(E63:AI63, "SPL")</f>
        <v>0</v>
      </c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  <c r="Z63" s="211"/>
      <c r="AA63" s="211"/>
      <c r="AB63" s="211"/>
      <c r="AC63" s="211"/>
      <c r="AD63" s="211"/>
      <c r="AE63" s="211"/>
      <c r="AF63" s="211"/>
      <c r="AG63" s="222"/>
      <c r="AH63" s="222"/>
      <c r="AI63" s="211"/>
      <c r="AJ63" s="203">
        <f t="shared" si="0"/>
        <v>0</v>
      </c>
    </row>
    <row r="64" spans="1:36" ht="16.5" customHeight="1" x14ac:dyDescent="0.2">
      <c r="A64" s="204" t="s">
        <v>166</v>
      </c>
      <c r="B64" s="205">
        <f>Sept2025!B62+1.25- (COUNTIF(E64:AI64, "VL") * 1) - (COUNTIF(E64:AI64, "HDL") * 0.5)</f>
        <v>1.75</v>
      </c>
      <c r="C64" s="206">
        <f>Sept2025!C62-COUNTIF(E64:AI64, "SL")-(COUNTIF(E64:AI64, "HDSL") * 0.5)</f>
        <v>2</v>
      </c>
      <c r="D64" s="207">
        <f>'Jun2025 '!D53-COUNTIF(E64:AI64, "SPL")</f>
        <v>0</v>
      </c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9"/>
      <c r="Q64" s="211"/>
      <c r="R64" s="211"/>
      <c r="S64" s="211"/>
      <c r="T64" s="211"/>
      <c r="U64" s="211"/>
      <c r="V64" s="211"/>
      <c r="W64" s="211"/>
      <c r="X64" s="211" t="s">
        <v>172</v>
      </c>
      <c r="Y64" s="211" t="s">
        <v>172</v>
      </c>
      <c r="Z64" s="211" t="s">
        <v>172</v>
      </c>
      <c r="AA64" s="211" t="s">
        <v>172</v>
      </c>
      <c r="AB64" s="211"/>
      <c r="AC64" s="211"/>
      <c r="AD64" s="211"/>
      <c r="AE64" s="211"/>
      <c r="AF64" s="211"/>
      <c r="AG64" s="222"/>
      <c r="AH64" s="222"/>
      <c r="AI64" s="211"/>
      <c r="AJ64" s="203">
        <f t="shared" si="0"/>
        <v>0</v>
      </c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C7401-0DD4-4474-9D48-D5A84DAE9A83}">
  <sheetPr>
    <tabColor rgb="FFFF0000"/>
  </sheetPr>
  <dimension ref="A1:AJ64"/>
  <sheetViews>
    <sheetView zoomScale="130" zoomScaleNormal="130" workbookViewId="0">
      <pane xSplit="4" ySplit="1" topLeftCell="E27" activePane="bottomRight" state="frozen"/>
      <selection pane="topRight" activeCell="E1" sqref="E1"/>
      <selection pane="bottomLeft" activeCell="A2" sqref="A2"/>
      <selection pane="bottomRight" activeCell="B48" sqref="B48"/>
    </sheetView>
  </sheetViews>
  <sheetFormatPr defaultRowHeight="11.25" x14ac:dyDescent="0.2"/>
  <cols>
    <col min="1" max="1" width="42.83203125" style="203" customWidth="1"/>
    <col min="2" max="4" width="9.33203125" style="203" customWidth="1"/>
    <col min="5" max="33" width="9.33203125" style="203"/>
    <col min="34" max="34" width="9.5" style="203" customWidth="1"/>
    <col min="35" max="16384" width="9.33203125" style="203"/>
  </cols>
  <sheetData>
    <row r="1" spans="1:36" x14ac:dyDescent="0.2">
      <c r="A1" s="199" t="s">
        <v>124</v>
      </c>
      <c r="B1" s="200" t="s">
        <v>172</v>
      </c>
      <c r="C1" s="201" t="s">
        <v>173</v>
      </c>
      <c r="D1" s="202" t="s">
        <v>174</v>
      </c>
      <c r="E1" s="197">
        <v>45962</v>
      </c>
      <c r="F1" s="197">
        <v>45963</v>
      </c>
      <c r="G1" s="197">
        <v>45964</v>
      </c>
      <c r="H1" s="197">
        <v>45965</v>
      </c>
      <c r="I1" s="197">
        <v>45966</v>
      </c>
      <c r="J1" s="197">
        <v>45967</v>
      </c>
      <c r="K1" s="197">
        <v>45968</v>
      </c>
      <c r="L1" s="197">
        <v>45969</v>
      </c>
      <c r="M1" s="197">
        <v>45970</v>
      </c>
      <c r="N1" s="197">
        <v>45971</v>
      </c>
      <c r="O1" s="197">
        <v>45972</v>
      </c>
      <c r="P1" s="197">
        <v>45973</v>
      </c>
      <c r="Q1" s="197">
        <v>45974</v>
      </c>
      <c r="R1" s="197">
        <v>45975</v>
      </c>
      <c r="S1" s="197">
        <v>45976</v>
      </c>
      <c r="T1" s="197">
        <v>45977</v>
      </c>
      <c r="U1" s="197">
        <v>45978</v>
      </c>
      <c r="V1" s="197">
        <v>45979</v>
      </c>
      <c r="W1" s="197">
        <v>45980</v>
      </c>
      <c r="X1" s="197">
        <v>45981</v>
      </c>
      <c r="Y1" s="197">
        <v>45982</v>
      </c>
      <c r="Z1" s="197">
        <v>45983</v>
      </c>
      <c r="AA1" s="197">
        <v>45984</v>
      </c>
      <c r="AB1" s="197">
        <v>45985</v>
      </c>
      <c r="AC1" s="197">
        <v>45986</v>
      </c>
      <c r="AD1" s="197">
        <v>45987</v>
      </c>
      <c r="AE1" s="197">
        <v>45988</v>
      </c>
      <c r="AF1" s="197">
        <v>45989</v>
      </c>
      <c r="AG1" s="197">
        <v>45990</v>
      </c>
      <c r="AH1" s="197">
        <v>45991</v>
      </c>
      <c r="AJ1" s="203" t="s">
        <v>346</v>
      </c>
    </row>
    <row r="2" spans="1:36" ht="17.25" customHeight="1" x14ac:dyDescent="0.2">
      <c r="A2" s="204" t="s">
        <v>158</v>
      </c>
      <c r="B2" s="205">
        <f>'Oct2025 '!B2+1.25- (COUNTIF(E2:AH2, "VL") * 1) - (COUNTIF(E2:AH2, "HDL") * 0.5)</f>
        <v>8.75</v>
      </c>
      <c r="C2" s="206">
        <f ca="1">'Oct2025 '!C2-COUNTIF(E2:AH2, "SL")-(COUNTIF(E2:AH2, "HDSL") * 0.5)</f>
        <v>0</v>
      </c>
      <c r="D2" s="207">
        <f>'Oct2025 '!D2-COUNTIF(E2:AH2, "SPL")</f>
        <v>0</v>
      </c>
      <c r="E2" s="218"/>
      <c r="F2" s="218"/>
      <c r="G2" s="218"/>
      <c r="H2" s="218"/>
      <c r="I2" s="218" t="s">
        <v>172</v>
      </c>
      <c r="J2" s="218"/>
      <c r="K2" s="218"/>
      <c r="L2" s="218"/>
      <c r="M2" s="218"/>
      <c r="N2" s="218"/>
      <c r="O2" s="218"/>
      <c r="P2" s="218" t="s">
        <v>172</v>
      </c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33"/>
      <c r="AH2" s="233"/>
      <c r="AJ2" s="203">
        <f>COUNTIF(E2:AI2,"SL")</f>
        <v>0</v>
      </c>
    </row>
    <row r="3" spans="1:36" ht="17.25" customHeight="1" x14ac:dyDescent="0.2">
      <c r="A3" s="204" t="s">
        <v>160</v>
      </c>
      <c r="B3" s="205">
        <f>'Oct2025 '!B3+1.25- (COUNTIF(E3:AH3, "VL") * 1) - (COUNTIF(E3:AH3, "HDL") * 0.5)</f>
        <v>13</v>
      </c>
      <c r="C3" s="206">
        <f>'Oct2025 '!C3-COUNTIF(E3:AH3, "SL")-(COUNTIF(E3:AH3, "HDSL") * 0.5)</f>
        <v>0</v>
      </c>
      <c r="D3" s="207">
        <f>'Oct2025 '!D3-COUNTIF(E3:AH3, "SPL")</f>
        <v>0</v>
      </c>
      <c r="E3" s="218"/>
      <c r="F3" s="218"/>
      <c r="G3" s="218"/>
      <c r="H3" s="218"/>
      <c r="I3" s="218"/>
      <c r="J3" s="218"/>
      <c r="K3" s="218" t="s">
        <v>172</v>
      </c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40"/>
      <c r="AA3" s="240"/>
      <c r="AB3" s="240"/>
      <c r="AC3" s="240"/>
      <c r="AD3" s="240" t="s">
        <v>172</v>
      </c>
      <c r="AE3" s="218" t="s">
        <v>175</v>
      </c>
      <c r="AF3" s="218"/>
      <c r="AG3" s="233"/>
      <c r="AH3" s="233"/>
      <c r="AJ3" s="203">
        <f t="shared" ref="AJ3:AJ64" si="0">COUNTIF(E3:AI3,"SL")</f>
        <v>0</v>
      </c>
    </row>
    <row r="4" spans="1:36" ht="17.25" customHeight="1" x14ac:dyDescent="0.2">
      <c r="A4" s="204" t="s">
        <v>149</v>
      </c>
      <c r="B4" s="205">
        <f>'Oct2025 '!B4+1.25- (COUNTIF(E4:AH4, "VL") * 1) - (COUNTIF(E4:AH4, "HDL") * 0.5)</f>
        <v>11.25</v>
      </c>
      <c r="C4" s="206">
        <f>'Oct2025 '!C4-COUNTIF(E4:AH4, "SL")-(COUNTIF(E4:AH4, "HDSL") * 0.5)</f>
        <v>0</v>
      </c>
      <c r="D4" s="207">
        <f>'Oct2025 '!D4-COUNTIF(E4:AH4, "SPL")</f>
        <v>0</v>
      </c>
      <c r="E4" s="218"/>
      <c r="F4" s="218"/>
      <c r="G4" s="218"/>
      <c r="H4" s="218"/>
      <c r="I4" s="218"/>
      <c r="J4" s="218"/>
      <c r="K4" s="218"/>
      <c r="L4" s="218"/>
      <c r="M4" s="218"/>
      <c r="N4" s="218" t="s">
        <v>172</v>
      </c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  <c r="AA4" s="218"/>
      <c r="AB4" s="218"/>
      <c r="AC4" s="218"/>
      <c r="AD4" s="218"/>
      <c r="AE4" s="241"/>
      <c r="AF4" s="218"/>
      <c r="AG4" s="233"/>
      <c r="AH4" s="233"/>
      <c r="AJ4" s="203">
        <f t="shared" si="0"/>
        <v>0</v>
      </c>
    </row>
    <row r="5" spans="1:36" ht="17.25" customHeight="1" x14ac:dyDescent="0.2">
      <c r="A5" s="204" t="s">
        <v>142</v>
      </c>
      <c r="B5" s="205">
        <f>'Oct2025 '!B5+1.25- (COUNTIF(E5:AH5, "VL") * 1) - (COUNTIF(E5:AH5, "HDL") * 0.5)</f>
        <v>5.25</v>
      </c>
      <c r="C5" s="206">
        <f>'Oct2025 '!C5-COUNTIF(E5:AH5, "SL")-(COUNTIF(E5:AH5, "HDSL") * 0.5)</f>
        <v>0.5</v>
      </c>
      <c r="D5" s="207">
        <f>'Oct2025 '!D5-COUNTIF(E5:AH5, "SPL")</f>
        <v>0</v>
      </c>
      <c r="E5" s="218"/>
      <c r="F5" s="218"/>
      <c r="G5" s="218" t="s">
        <v>182</v>
      </c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 t="s">
        <v>172</v>
      </c>
      <c r="Z5" s="218"/>
      <c r="AA5" s="218"/>
      <c r="AB5" s="218"/>
      <c r="AC5" s="218"/>
      <c r="AD5" s="211"/>
      <c r="AE5" s="241"/>
      <c r="AF5" s="218"/>
      <c r="AG5" s="233"/>
      <c r="AH5" s="233"/>
      <c r="AJ5" s="203">
        <f t="shared" si="0"/>
        <v>0</v>
      </c>
    </row>
    <row r="6" spans="1:36" ht="17.25" customHeight="1" x14ac:dyDescent="0.2">
      <c r="A6" s="215" t="s">
        <v>356</v>
      </c>
      <c r="B6" s="205">
        <f>'Oct2025 '!B6+1.25- (COUNTIF(E6:AH6, "VL") * 1) - (COUNTIF(E6:AH6, "HDL") * 0.5)</f>
        <v>1.25</v>
      </c>
      <c r="C6" s="206">
        <f>MIN('Oct2025 '!C6 + 0.416, 5)-COUNTIF(E6:AH6, "SL")-(COUNTIF(E6:AH6, "HDSL") * 0.5)</f>
        <v>1.7479999999999998</v>
      </c>
      <c r="D6" s="207"/>
      <c r="E6" s="218"/>
      <c r="F6" s="218"/>
      <c r="G6" s="218"/>
      <c r="H6" s="218"/>
      <c r="I6" s="218"/>
      <c r="J6" s="218"/>
      <c r="K6" s="218"/>
      <c r="L6" s="218"/>
      <c r="M6" s="218"/>
      <c r="N6" s="218" t="s">
        <v>172</v>
      </c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 t="s">
        <v>173</v>
      </c>
      <c r="Z6" s="218"/>
      <c r="AA6" s="218"/>
      <c r="AB6" s="218"/>
      <c r="AC6" s="218"/>
      <c r="AD6" s="211"/>
      <c r="AE6" s="241"/>
      <c r="AF6" s="218"/>
      <c r="AG6" s="233"/>
      <c r="AH6" s="233"/>
      <c r="AJ6" s="203">
        <f t="shared" si="0"/>
        <v>1</v>
      </c>
    </row>
    <row r="7" spans="1:36" ht="17.25" customHeight="1" x14ac:dyDescent="0.2">
      <c r="A7" s="215" t="s">
        <v>366</v>
      </c>
      <c r="B7" s="205">
        <f>'Oct2025 '!B7+1.25- (COUNTIF(E7:AH7, "VL") * 1) - (COUNTIF(E7:AH7, "HDL") * 0.5)</f>
        <v>8.75</v>
      </c>
      <c r="C7" s="206">
        <f>'Oct2025 '!C7-COUNTIF(E7:AI7, "SL")-(COUNTIF(E7:AI7, "HDSL") * 0.5)</f>
        <v>5</v>
      </c>
      <c r="D7" s="207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49"/>
      <c r="AA7" s="249"/>
      <c r="AB7" s="249"/>
      <c r="AC7" s="249"/>
      <c r="AD7" s="250"/>
      <c r="AE7" s="241"/>
      <c r="AF7" s="218"/>
      <c r="AG7" s="233"/>
      <c r="AH7" s="233"/>
      <c r="AJ7" s="203">
        <f t="shared" si="0"/>
        <v>0</v>
      </c>
    </row>
    <row r="8" spans="1:36" ht="17.25" customHeight="1" x14ac:dyDescent="0.2">
      <c r="A8" s="204" t="s">
        <v>176</v>
      </c>
      <c r="B8" s="205">
        <f>'Oct2025 '!B8+1.25- (COUNTIF(E8:AH8, "VL") * 1) - (COUNTIF(E8:AH8, "HDL") * 0.5)</f>
        <v>12.75</v>
      </c>
      <c r="C8" s="206">
        <f>MIN('Oct2025 '!C8, 5)-COUNTIF(E8:AH8, "SL")-(COUNTIF(E8:AH8, "HDSL") * 0.5)</f>
        <v>0</v>
      </c>
      <c r="D8" s="207">
        <f>'Jun2025 '!D6-COUNTIF(E8:AH8, "SPL")</f>
        <v>0</v>
      </c>
      <c r="E8" s="229"/>
      <c r="F8" s="229"/>
      <c r="G8" s="229"/>
      <c r="H8" s="229"/>
      <c r="I8" s="229"/>
      <c r="J8" s="229"/>
      <c r="K8" s="229"/>
      <c r="L8" s="229"/>
      <c r="M8" s="229"/>
      <c r="N8" s="229"/>
      <c r="O8" s="229"/>
      <c r="P8" s="229"/>
      <c r="Q8" s="229"/>
      <c r="R8" s="229"/>
      <c r="S8" s="229"/>
      <c r="T8" s="229"/>
      <c r="U8" s="229"/>
      <c r="V8" s="229"/>
      <c r="W8" s="229"/>
      <c r="X8" s="229"/>
      <c r="Y8" s="229" t="s">
        <v>173</v>
      </c>
      <c r="Z8" s="234"/>
      <c r="AA8" s="234"/>
      <c r="AB8" s="234"/>
      <c r="AC8" s="234"/>
      <c r="AD8" s="234"/>
      <c r="AE8" s="229"/>
      <c r="AF8" s="229"/>
      <c r="AG8" s="242"/>
      <c r="AH8" s="242"/>
      <c r="AJ8" s="203">
        <f t="shared" si="0"/>
        <v>1</v>
      </c>
    </row>
    <row r="9" spans="1:36" ht="17.25" customHeight="1" x14ac:dyDescent="0.2">
      <c r="A9" s="209" t="s">
        <v>177</v>
      </c>
      <c r="B9" s="205">
        <f>'Oct2025 '!B9+1.25- (COUNTIF(E9:AH9, "VL") * 1) - (COUNTIF(E9:AH9, "HDL") * 0.5)</f>
        <v>5.5</v>
      </c>
      <c r="C9" s="206">
        <f>MIN('Oct2025 '!C9 + 0.416, 5)-COUNTIF(E9:AH9, "SL")-(COUNTIF(E9:AH9, "HDSL") * 0.5)</f>
        <v>0.41599999999999998</v>
      </c>
      <c r="D9" s="207">
        <f>'Jun2025 '!D7-COUNTIF(E9:AH9, "SPL")</f>
        <v>0</v>
      </c>
      <c r="E9" s="229"/>
      <c r="F9" s="229" t="s">
        <v>172</v>
      </c>
      <c r="G9" s="229"/>
      <c r="H9" s="229"/>
      <c r="I9" s="229"/>
      <c r="J9" s="229"/>
      <c r="K9" s="229"/>
      <c r="L9" s="229"/>
      <c r="M9" s="229"/>
      <c r="N9" s="229"/>
      <c r="O9" s="229"/>
      <c r="P9" s="229"/>
      <c r="Q9" s="229"/>
      <c r="R9" s="229"/>
      <c r="S9" s="229"/>
      <c r="T9" s="229"/>
      <c r="U9" s="229"/>
      <c r="V9" s="229"/>
      <c r="W9" s="229"/>
      <c r="X9" s="229"/>
      <c r="Y9" s="229"/>
      <c r="Z9" s="229"/>
      <c r="AA9" s="229"/>
      <c r="AB9" s="229"/>
      <c r="AC9" s="229"/>
      <c r="AD9" s="229"/>
      <c r="AE9" s="229"/>
      <c r="AF9" s="229"/>
      <c r="AG9" s="242"/>
      <c r="AH9" s="242"/>
      <c r="AJ9" s="203">
        <f t="shared" si="0"/>
        <v>0</v>
      </c>
    </row>
    <row r="10" spans="1:36" ht="17.25" customHeight="1" x14ac:dyDescent="0.2">
      <c r="A10" s="209" t="s">
        <v>178</v>
      </c>
      <c r="B10" s="205">
        <f>'Oct2025 '!B10+1.25- (COUNTIF(E10:AH10, "VL") * 1) - (COUNTIF(E10:AH10, "HDL") * 0.5)</f>
        <v>4.25</v>
      </c>
      <c r="C10" s="206">
        <f>MIN('Oct2025 '!C10 + 0.416, 5)-COUNTIF(E10:AH10, "SL")-(COUNTIF(E10:AH10, "HDSL") * 0.5)</f>
        <v>0.41599999999999998</v>
      </c>
      <c r="D10" s="207">
        <f>'Jun2025 '!D8-COUNTIF(E10:AH10, "SPL")</f>
        <v>0</v>
      </c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8"/>
      <c r="AA10" s="218"/>
      <c r="AB10" s="218"/>
      <c r="AC10" s="218"/>
      <c r="AD10" s="218"/>
      <c r="AE10" s="218"/>
      <c r="AF10" s="218"/>
      <c r="AG10" s="233"/>
      <c r="AH10" s="233"/>
      <c r="AJ10" s="203">
        <f t="shared" si="0"/>
        <v>0</v>
      </c>
    </row>
    <row r="11" spans="1:36" ht="17.25" customHeight="1" x14ac:dyDescent="0.2">
      <c r="A11" s="215" t="s">
        <v>364</v>
      </c>
      <c r="B11" s="205"/>
      <c r="C11" s="206"/>
      <c r="D11" s="207">
        <f>'Oct2025 '!D11-COUNTIF(E11:AH11, "SPL")</f>
        <v>5</v>
      </c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 t="s">
        <v>174</v>
      </c>
      <c r="Z11" s="218"/>
      <c r="AA11" s="218"/>
      <c r="AB11" s="218"/>
      <c r="AC11" s="218"/>
      <c r="AD11" s="218"/>
      <c r="AE11" s="218"/>
      <c r="AF11" s="218"/>
      <c r="AG11" s="233"/>
      <c r="AH11" s="233"/>
      <c r="AJ11" s="203">
        <f t="shared" si="0"/>
        <v>0</v>
      </c>
    </row>
    <row r="12" spans="1:36" ht="17.25" customHeight="1" x14ac:dyDescent="0.2">
      <c r="A12" s="209" t="s">
        <v>332</v>
      </c>
      <c r="B12" s="205">
        <f>'Oct2025 '!B12+1.25- (COUNTIF(E12:AH12, "VL") * 1) - (COUNTIF(E12:AH12, "HDL") * 0.5)</f>
        <v>5.25</v>
      </c>
      <c r="C12" s="206">
        <f>'Oct2025 '!C12-COUNTIF(E12:AH12, "SL")-(COUNTIF(E12:AH12, "HDSL") * 0.5)</f>
        <v>0.91666666666666208</v>
      </c>
      <c r="D12" s="207">
        <f>'Jun2025 '!D9-COUNTIF(E12:AH12, "SPL")</f>
        <v>0</v>
      </c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8"/>
      <c r="AG12" s="233"/>
      <c r="AH12" s="233"/>
      <c r="AJ12" s="203">
        <f t="shared" si="0"/>
        <v>0</v>
      </c>
    </row>
    <row r="13" spans="1:36" ht="17.25" customHeight="1" x14ac:dyDescent="0.2">
      <c r="A13" s="209" t="s">
        <v>162</v>
      </c>
      <c r="B13" s="205">
        <f>'Oct2025 '!B13+1.25- (COUNTIF(E13:AH13, "VL") * 1) - (COUNTIF(E13:AH13, "HDL") * 0.5)</f>
        <v>15</v>
      </c>
      <c r="C13" s="206">
        <f>'Oct2025 '!C13-COUNTIF(E13:AH13, "SL")-(COUNTIF(E13:AH13, "HDSL") * 0.5)</f>
        <v>5</v>
      </c>
      <c r="D13" s="207">
        <f>'Jun2025 '!D10-COUNTIF(E13:AH13, "SPL")</f>
        <v>0</v>
      </c>
      <c r="E13" s="218"/>
      <c r="F13" s="218"/>
      <c r="G13" s="218"/>
      <c r="H13" s="218"/>
      <c r="I13" s="218"/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  <c r="AA13" s="218"/>
      <c r="AB13" s="218"/>
      <c r="AC13" s="218"/>
      <c r="AD13" s="218"/>
      <c r="AE13" s="218"/>
      <c r="AF13" s="218"/>
      <c r="AG13" s="233"/>
      <c r="AH13" s="233"/>
      <c r="AJ13" s="203">
        <f t="shared" si="0"/>
        <v>0</v>
      </c>
    </row>
    <row r="14" spans="1:36" ht="17.25" customHeight="1" x14ac:dyDescent="0.2">
      <c r="A14" s="209" t="s">
        <v>347</v>
      </c>
      <c r="B14" s="205">
        <f>'Oct2025 '!B14- (COUNTIF(E14:AH14, "VL") * 1) - (COUNTIF(E14:AH14, "HDL") * 0.5)</f>
        <v>14</v>
      </c>
      <c r="C14" s="206">
        <f>'Oct2025 '!C14-COUNTIF(E14:AH14, "SL")-(COUNTIF(E14:AH14, "HDSL") * 0.5)</f>
        <v>3.9986666666666602</v>
      </c>
      <c r="D14" s="207">
        <f>'Jun2025 '!D11-COUNTIF(E14:AH14, "SPL")</f>
        <v>0</v>
      </c>
      <c r="E14" s="218"/>
      <c r="F14" s="218"/>
      <c r="G14" s="218"/>
      <c r="H14" s="218"/>
      <c r="I14" s="218"/>
      <c r="J14" s="218"/>
      <c r="K14" s="218"/>
      <c r="L14" s="218"/>
      <c r="M14" s="218"/>
      <c r="N14" s="218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 t="s">
        <v>172</v>
      </c>
      <c r="Z14" s="218"/>
      <c r="AA14" s="218"/>
      <c r="AB14" s="218"/>
      <c r="AC14" s="218"/>
      <c r="AD14" s="218"/>
      <c r="AE14" s="218"/>
      <c r="AF14" s="218"/>
      <c r="AG14" s="233"/>
      <c r="AH14" s="233"/>
      <c r="AJ14" s="203">
        <f t="shared" si="0"/>
        <v>0</v>
      </c>
    </row>
    <row r="15" spans="1:36" ht="17.25" customHeight="1" x14ac:dyDescent="0.2">
      <c r="A15" s="209" t="s">
        <v>367</v>
      </c>
      <c r="B15" s="205">
        <f>'Oct2025 '!B15+1.25- (COUNTIF(E15:AH15, "VL") * 1) - (COUNTIF(E15:AH15, "HDL") * 0.5)</f>
        <v>8.75</v>
      </c>
      <c r="C15" s="206">
        <f>'Oct2025 '!C15+0.416-COUNTIF(E15:AH15, "SL")-(COUNTIF(E15:AH15, "HDSL") * 0.5)</f>
        <v>1.9159999999999999</v>
      </c>
      <c r="D15" s="207"/>
      <c r="E15" s="218"/>
      <c r="F15" s="218"/>
      <c r="G15" s="218"/>
      <c r="H15" s="218"/>
      <c r="I15" s="218"/>
      <c r="J15" s="218"/>
      <c r="K15" s="218"/>
      <c r="L15" s="218"/>
      <c r="M15" s="218"/>
      <c r="N15" s="218" t="s">
        <v>173</v>
      </c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  <c r="AA15" s="218"/>
      <c r="AB15" s="218"/>
      <c r="AC15" s="218"/>
      <c r="AD15" s="218"/>
      <c r="AE15" s="218"/>
      <c r="AF15" s="218"/>
      <c r="AG15" s="233"/>
      <c r="AH15" s="233"/>
    </row>
    <row r="16" spans="1:36" ht="17.25" customHeight="1" x14ac:dyDescent="0.2">
      <c r="A16" s="209" t="s">
        <v>179</v>
      </c>
      <c r="B16" s="205">
        <f>'Oct2025 '!B16+1.25- (COUNTIF(E16:AH16, "VL") * 1) - (COUNTIF(E16:AH16, "HDL") * 0.5)</f>
        <v>10.25</v>
      </c>
      <c r="C16" s="206">
        <f>'Oct2025 '!C16-COUNTIF(E16:AH16, "SL")-(COUNTIF(E16:AH16, "HDSL") * 0.5)</f>
        <v>1</v>
      </c>
      <c r="D16" s="207">
        <f>'Jun2025 '!D12-COUNTIF(E16:AH16, "SPL")</f>
        <v>0</v>
      </c>
      <c r="E16" s="229"/>
      <c r="F16" s="229"/>
      <c r="G16" s="229"/>
      <c r="H16" s="229"/>
      <c r="I16" s="229"/>
      <c r="J16" s="229"/>
      <c r="K16" s="229"/>
      <c r="L16" s="229"/>
      <c r="M16" s="229"/>
      <c r="N16" s="229" t="s">
        <v>173</v>
      </c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/>
      <c r="AA16" s="229"/>
      <c r="AB16" s="229"/>
      <c r="AC16" s="229"/>
      <c r="AD16" s="229"/>
      <c r="AE16" s="229" t="s">
        <v>173</v>
      </c>
      <c r="AF16" s="229"/>
      <c r="AG16" s="242"/>
      <c r="AH16" s="242"/>
      <c r="AJ16" s="203">
        <f t="shared" si="0"/>
        <v>2</v>
      </c>
    </row>
    <row r="17" spans="1:36" ht="17.25" customHeight="1" x14ac:dyDescent="0.2">
      <c r="A17" s="209" t="s">
        <v>348</v>
      </c>
      <c r="B17" s="205">
        <f>'Oct2025 '!B17+1.25- (COUNTIF(E17:AH17, "VL") * 1) - (COUNTIF(E17:AH17, "HDL") * 0.5)</f>
        <v>2</v>
      </c>
      <c r="C17" s="206">
        <f>'Oct2025 '!C17+0.416-COUNTIF(E17:AH17, "SL")-(COUNTIF(E17:AH17, "HDSL") * 0.5)</f>
        <v>2.9959999999999956</v>
      </c>
      <c r="D17" s="207">
        <f>'Jun2025 '!D13-COUNTIF(E17:AH17, "SPL")</f>
        <v>0</v>
      </c>
      <c r="E17" s="229"/>
      <c r="F17" s="229"/>
      <c r="G17" s="229"/>
      <c r="H17" s="229"/>
      <c r="I17" s="229"/>
      <c r="J17" s="229"/>
      <c r="K17" s="229" t="s">
        <v>172</v>
      </c>
      <c r="L17" s="229" t="s">
        <v>172</v>
      </c>
      <c r="M17" s="229" t="s">
        <v>172</v>
      </c>
      <c r="N17" s="229"/>
      <c r="O17" s="229"/>
      <c r="P17" s="229"/>
      <c r="Q17" s="229"/>
      <c r="R17" s="229"/>
      <c r="S17" s="229"/>
      <c r="T17" s="229"/>
      <c r="U17" s="229"/>
      <c r="V17" s="229" t="s">
        <v>172</v>
      </c>
      <c r="W17" s="229" t="s">
        <v>172</v>
      </c>
      <c r="X17" s="229"/>
      <c r="Y17" s="229"/>
      <c r="Z17" s="229"/>
      <c r="AA17" s="229"/>
      <c r="AB17" s="229"/>
      <c r="AC17" s="229"/>
      <c r="AD17" s="229"/>
      <c r="AE17" s="229"/>
      <c r="AF17" s="229"/>
      <c r="AG17" s="242"/>
      <c r="AH17" s="242"/>
      <c r="AJ17" s="203">
        <f t="shared" si="0"/>
        <v>0</v>
      </c>
    </row>
    <row r="18" spans="1:36" ht="17.25" customHeight="1" x14ac:dyDescent="0.2">
      <c r="A18" s="209" t="s">
        <v>151</v>
      </c>
      <c r="B18" s="205">
        <f>'Oct2025 '!B18+1.25- (COUNTIF(E18:AH18, "VL") * 1) - (COUNTIF(E18:AH18, "HDL") * 0.5)</f>
        <v>9</v>
      </c>
      <c r="C18" s="206">
        <f>'Oct2025 '!C18-COUNTIF(E18:AH18, "SL")-(COUNTIF(E18:AH18, "HDSL") * 0.5)</f>
        <v>0</v>
      </c>
      <c r="D18" s="207">
        <f>'Jun2025 '!D14-COUNTIF(E18:AH18, "SPL")</f>
        <v>0</v>
      </c>
      <c r="E18" s="218"/>
      <c r="F18" s="218"/>
      <c r="G18" s="243" t="s">
        <v>175</v>
      </c>
      <c r="H18" s="218"/>
      <c r="I18" s="218"/>
      <c r="J18" s="218"/>
      <c r="K18" s="218"/>
      <c r="L18" s="218"/>
      <c r="M18" s="218"/>
      <c r="N18" s="218" t="s">
        <v>172</v>
      </c>
      <c r="O18" s="218"/>
      <c r="P18" s="218"/>
      <c r="Q18" s="218"/>
      <c r="R18" s="218"/>
      <c r="S18" s="218"/>
      <c r="T18" s="218"/>
      <c r="U18" s="218"/>
      <c r="V18" s="218" t="s">
        <v>172</v>
      </c>
      <c r="W18" s="218" t="s">
        <v>172</v>
      </c>
      <c r="X18" s="218" t="s">
        <v>172</v>
      </c>
      <c r="Y18" s="218"/>
      <c r="Z18" s="218"/>
      <c r="AA18" s="218"/>
      <c r="AB18" s="218"/>
      <c r="AC18" s="218"/>
      <c r="AD18" s="218"/>
      <c r="AE18" s="218" t="s">
        <v>172</v>
      </c>
      <c r="AF18" s="218"/>
      <c r="AG18" s="233"/>
      <c r="AH18" s="233"/>
      <c r="AJ18" s="203">
        <f t="shared" si="0"/>
        <v>0</v>
      </c>
    </row>
    <row r="19" spans="1:36" ht="17.25" customHeight="1" x14ac:dyDescent="0.2">
      <c r="A19" s="237" t="s">
        <v>180</v>
      </c>
      <c r="B19" s="205">
        <f>'Oct2025 '!B19+1.25- (COUNTIF(E19:AH19, "VL") * 1) - (COUNTIF(E19:AH19, "HDL") * 0.5)</f>
        <v>12.75</v>
      </c>
      <c r="C19" s="206">
        <f>'Oct2025 '!C19-COUNTIF(E19:AH19, "SL")-(COUNTIF(E19:AH19, "HDSL") * 0.5)</f>
        <v>3.9906666666666606</v>
      </c>
      <c r="D19" s="207">
        <f>'Jun2025 '!D15-COUNTIF(E19:AH19, "SPL")</f>
        <v>0</v>
      </c>
      <c r="E19" s="218"/>
      <c r="F19" s="218"/>
      <c r="G19" s="218"/>
      <c r="H19" s="218"/>
      <c r="I19" s="218"/>
      <c r="J19" s="218"/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33"/>
      <c r="AH19" s="233"/>
      <c r="AJ19" s="203">
        <f t="shared" si="0"/>
        <v>0</v>
      </c>
    </row>
    <row r="20" spans="1:36" ht="17.25" customHeight="1" x14ac:dyDescent="0.2">
      <c r="A20" s="209" t="s">
        <v>181</v>
      </c>
      <c r="B20" s="205">
        <f>'Oct2025 '!B20+1.25- (COUNTIF(E20:AH20, "VL") * 1) - (COUNTIF(E20:AH20, "HDL") * 0.5)</f>
        <v>6.25</v>
      </c>
      <c r="C20" s="206">
        <f>'Oct2025 '!C20-COUNTIF(E20:AH20, "SL")-(COUNTIF(E20:AH20, "HDSL") * 0.5)</f>
        <v>0</v>
      </c>
      <c r="D20" s="207">
        <f>'Jun2025 '!D16-COUNTIF(E20:AH20, "SPL")</f>
        <v>0</v>
      </c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 t="s">
        <v>172</v>
      </c>
      <c r="AD20" s="218"/>
      <c r="AE20" s="218"/>
      <c r="AF20" s="218"/>
      <c r="AG20" s="233"/>
      <c r="AH20" s="233"/>
      <c r="AJ20" s="203">
        <f t="shared" si="0"/>
        <v>0</v>
      </c>
    </row>
    <row r="21" spans="1:36" ht="17.25" customHeight="1" x14ac:dyDescent="0.2">
      <c r="A21" s="209" t="s">
        <v>221</v>
      </c>
      <c r="B21" s="205">
        <f>'Oct2025 '!B21+1.25- (COUNTIF(E21:AH21, "VL") * 1) - (COUNTIF(E21:AH21, "HDL") * 0.5)</f>
        <v>8.25</v>
      </c>
      <c r="C21" s="206">
        <f>'Oct2025 '!C21-COUNTIF(E21:AH21, "SL")-(COUNTIF(E21:AH21, "HDSL") * 0.5)</f>
        <v>-4.6666666666697054E-3</v>
      </c>
      <c r="D21" s="207">
        <f>'Jun2025 '!D17-COUNTIF(E21:AH21, "SPL")</f>
        <v>0</v>
      </c>
      <c r="E21" s="218"/>
      <c r="F21" s="218"/>
      <c r="G21" s="218"/>
      <c r="H21" s="218"/>
      <c r="I21" s="218"/>
      <c r="J21" s="218"/>
      <c r="K21" s="218"/>
      <c r="L21" s="218"/>
      <c r="M21" s="218"/>
      <c r="N21" s="218"/>
      <c r="O21" s="218"/>
      <c r="P21" s="218"/>
      <c r="Q21" s="218"/>
      <c r="R21" s="218" t="s">
        <v>172</v>
      </c>
      <c r="S21" s="218"/>
      <c r="T21" s="218"/>
      <c r="U21" s="218"/>
      <c r="V21" s="218" t="s">
        <v>172</v>
      </c>
      <c r="W21" s="218" t="s">
        <v>173</v>
      </c>
      <c r="X21" s="218"/>
      <c r="Y21" s="218"/>
      <c r="Z21" s="218"/>
      <c r="AA21" s="218"/>
      <c r="AB21" s="218" t="s">
        <v>173</v>
      </c>
      <c r="AC21" s="218" t="s">
        <v>182</v>
      </c>
      <c r="AD21" s="218"/>
      <c r="AE21" s="218"/>
      <c r="AF21" s="218"/>
      <c r="AG21" s="222"/>
      <c r="AH21" s="222"/>
      <c r="AJ21" s="203">
        <f t="shared" si="0"/>
        <v>2</v>
      </c>
    </row>
    <row r="22" spans="1:36" ht="17.25" customHeight="1" x14ac:dyDescent="0.2">
      <c r="A22" s="209" t="s">
        <v>152</v>
      </c>
      <c r="B22" s="205">
        <f>'Oct2025 '!B22+1.25- (COUNTIF(E22:AH22, "VL") * 1) - (COUNTIF(E22:AH22, "HDL") * 0.5)</f>
        <v>8.875</v>
      </c>
      <c r="C22" s="206">
        <f>'Oct2025 '!C22-COUNTIF(E22:AH22, "SL")-(COUNTIF(E22:AH22, "HDSL") * 0.5)</f>
        <v>1</v>
      </c>
      <c r="D22" s="207">
        <f>'Jun2025 '!D18-COUNTIF(E22:AH22, "SPL")</f>
        <v>0</v>
      </c>
      <c r="E22" s="218"/>
      <c r="F22" s="218"/>
      <c r="G22" s="218"/>
      <c r="H22" s="218"/>
      <c r="I22" s="218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 t="s">
        <v>173</v>
      </c>
      <c r="Z22" s="218"/>
      <c r="AA22" s="218"/>
      <c r="AB22" s="239"/>
      <c r="AC22" s="218"/>
      <c r="AD22" s="218" t="s">
        <v>182</v>
      </c>
      <c r="AE22" s="218"/>
      <c r="AF22" s="218"/>
      <c r="AG22" s="233"/>
      <c r="AH22" s="233"/>
      <c r="AJ22" s="203">
        <f t="shared" si="0"/>
        <v>1</v>
      </c>
    </row>
    <row r="23" spans="1:36" ht="17.25" customHeight="1" x14ac:dyDescent="0.2">
      <c r="A23" s="209" t="s">
        <v>170</v>
      </c>
      <c r="B23" s="205">
        <f>'Oct2025 '!B23+1.25- (COUNTIF(E23:AH23, "VL") * 1) - (COUNTIF(E23:AH23, "HDL") * 0.5)</f>
        <v>6.75</v>
      </c>
      <c r="C23" s="206">
        <f>'Oct2025 '!C23-COUNTIF(E23:AH23, "SL")-(COUNTIF(E23:AH23, "HDSL") * 0.5)</f>
        <v>0</v>
      </c>
      <c r="D23" s="207">
        <f>'Jun2025 '!D19-COUNTIF(E23:AH23, "SPL")</f>
        <v>0</v>
      </c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33"/>
      <c r="AH23" s="233"/>
      <c r="AJ23" s="203">
        <f t="shared" si="0"/>
        <v>0</v>
      </c>
    </row>
    <row r="24" spans="1:36" ht="17.25" customHeight="1" x14ac:dyDescent="0.2">
      <c r="A24" s="212" t="s">
        <v>334</v>
      </c>
      <c r="B24" s="205">
        <f>'Oct2025 '!B24+1.25- (COUNTIF(E24:AH24, "VL") * 1) - (COUNTIF(E24:AH24, "HDL") * 0.5)</f>
        <v>14.25</v>
      </c>
      <c r="C24" s="206">
        <f>'Oct2025 '!C24-COUNTIF(E24:AH24, "SL")-(COUNTIF(E24:AH24, "HDSL") * 0.5)</f>
        <v>1.1666666666666603</v>
      </c>
      <c r="D24" s="207">
        <f>'Jun2025 '!D20-COUNTIF(E24:AH24, "SPL")</f>
        <v>0</v>
      </c>
      <c r="E24" s="218"/>
      <c r="F24" s="218"/>
      <c r="G24" s="218"/>
      <c r="H24" s="218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33"/>
      <c r="AH24" s="233"/>
      <c r="AJ24" s="203">
        <f t="shared" si="0"/>
        <v>0</v>
      </c>
    </row>
    <row r="25" spans="1:36" ht="17.25" customHeight="1" x14ac:dyDescent="0.2">
      <c r="A25" s="209" t="s">
        <v>145</v>
      </c>
      <c r="B25" s="205">
        <f>'Oct2025 '!B25+1.25- (COUNTIF(E25:AH25, "VL") * 1) - (COUNTIF(E25:AH25, "HDL") * 0.5)</f>
        <v>2.5</v>
      </c>
      <c r="C25" s="206">
        <f>'Oct2025 '!C25-COUNTIF(E25:AH25, "SL")-(COUNTIF(E25:AH25, "HDSL") * 0.5)</f>
        <v>0</v>
      </c>
      <c r="D25" s="207">
        <f>'Jun2025 '!D21-COUNTIF(E25:AH25, "SPL")</f>
        <v>0</v>
      </c>
      <c r="E25" s="218"/>
      <c r="F25" s="218"/>
      <c r="G25" s="218"/>
      <c r="H25" s="218"/>
      <c r="I25" s="218"/>
      <c r="J25" s="218"/>
      <c r="K25" s="218" t="s">
        <v>172</v>
      </c>
      <c r="L25" s="218"/>
      <c r="M25" s="218"/>
      <c r="N25" s="218" t="s">
        <v>172</v>
      </c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  <c r="AA25" s="218"/>
      <c r="AB25" s="218"/>
      <c r="AC25" s="218"/>
      <c r="AD25" s="218"/>
      <c r="AE25" s="218"/>
      <c r="AF25" s="218"/>
      <c r="AG25" s="233"/>
      <c r="AH25" s="233"/>
      <c r="AJ25" s="203">
        <f t="shared" si="0"/>
        <v>0</v>
      </c>
    </row>
    <row r="26" spans="1:36" ht="17.25" customHeight="1" x14ac:dyDescent="0.2">
      <c r="A26" s="215" t="s">
        <v>357</v>
      </c>
      <c r="B26" s="205">
        <f>'Oct2025 '!B26+1.25- (COUNTIF(E26:AH26, "VL") * 1) - (COUNTIF(E26:AH26, "HDL") * 0.5)</f>
        <v>9.25</v>
      </c>
      <c r="C26" s="206">
        <f>MIN('Oct2025 '!C26 + 0.416, 5)-COUNTIF(E26:AH26, "SL")-(COUNTIF(E26:AH26, "HDSL") * 0.5)</f>
        <v>1.7479999999999998</v>
      </c>
      <c r="D26" s="207"/>
      <c r="E26" s="218"/>
      <c r="F26" s="218"/>
      <c r="G26" s="218"/>
      <c r="H26" s="218"/>
      <c r="I26" s="218"/>
      <c r="J26" s="218"/>
      <c r="K26" s="218"/>
      <c r="L26" s="218"/>
      <c r="M26" s="218"/>
      <c r="N26" s="218" t="s">
        <v>172</v>
      </c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  <c r="AG26" s="233"/>
      <c r="AH26" s="233"/>
      <c r="AJ26" s="203">
        <f t="shared" si="0"/>
        <v>0</v>
      </c>
    </row>
    <row r="27" spans="1:36" ht="17.25" customHeight="1" x14ac:dyDescent="0.2">
      <c r="A27" s="209" t="s">
        <v>349</v>
      </c>
      <c r="B27" s="205">
        <f>'Oct2025 '!B27+1.25- (COUNTIF(E27:AH27, "VL") * 1) - (COUNTIF(E27:AH27, "HDL") * 0.5)</f>
        <v>11</v>
      </c>
      <c r="C27" s="206">
        <f>MIN('Oct2025 '!C27 + 0.416, 5)-COUNTIF(E27:AH27, "SL")-(COUNTIF(E27:AH27, "HDSL") * 0.5)</f>
        <v>2.9959999999999956</v>
      </c>
      <c r="D27" s="207">
        <f>'Jun2025 '!D22-COUNTIF(E27:AH27, "SPL")</f>
        <v>0</v>
      </c>
      <c r="E27" s="218"/>
      <c r="F27" s="218"/>
      <c r="G27" s="218"/>
      <c r="H27" s="218"/>
      <c r="I27" s="218" t="s">
        <v>175</v>
      </c>
      <c r="J27" s="218"/>
      <c r="K27" s="218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 t="s">
        <v>172</v>
      </c>
      <c r="X27" s="218"/>
      <c r="Y27" s="218"/>
      <c r="Z27" s="218"/>
      <c r="AA27" s="218"/>
      <c r="AB27" s="218" t="s">
        <v>175</v>
      </c>
      <c r="AC27" s="218"/>
      <c r="AD27" s="218"/>
      <c r="AE27" s="218"/>
      <c r="AF27" s="218"/>
      <c r="AG27" s="233"/>
      <c r="AH27" s="233" t="s">
        <v>172</v>
      </c>
      <c r="AJ27" s="203">
        <f t="shared" si="0"/>
        <v>0</v>
      </c>
    </row>
    <row r="28" spans="1:36" ht="17.25" customHeight="1" x14ac:dyDescent="0.2">
      <c r="A28" s="209" t="s">
        <v>150</v>
      </c>
      <c r="B28" s="205">
        <f>'Oct2025 '!B28+1.25- (COUNTIF(E28:AH28, "VL") * 1) - (COUNTIF(E28:AH28, "HDL") * 0.5)</f>
        <v>6</v>
      </c>
      <c r="C28" s="206">
        <f>'Aug2025'!C26-COUNTIF(E28:AH28, "SL")-(COUNTIF(E28:AH28, "HDSL") * 0.5)</f>
        <v>0</v>
      </c>
      <c r="D28" s="207">
        <f>'Jun2025 '!D23-COUNTIF(E28:AH28, "SPL")</f>
        <v>0</v>
      </c>
      <c r="E28" s="218"/>
      <c r="F28" s="218"/>
      <c r="G28" s="218"/>
      <c r="H28" s="218"/>
      <c r="I28" s="218"/>
      <c r="J28" s="218"/>
      <c r="K28" s="218"/>
      <c r="L28" s="218"/>
      <c r="M28" s="218"/>
      <c r="N28" s="218"/>
      <c r="O28" s="218"/>
      <c r="P28" s="229"/>
      <c r="Q28" s="218"/>
      <c r="R28" s="218"/>
      <c r="S28" s="218"/>
      <c r="T28" s="218"/>
      <c r="U28" s="218"/>
      <c r="V28" s="218"/>
      <c r="W28" s="218"/>
      <c r="X28" s="218"/>
      <c r="Y28" s="218"/>
      <c r="Z28" s="218"/>
      <c r="AA28" s="218"/>
      <c r="AB28" s="218" t="s">
        <v>172</v>
      </c>
      <c r="AC28" s="218"/>
      <c r="AD28" s="218"/>
      <c r="AE28" s="218"/>
      <c r="AF28" s="218"/>
      <c r="AG28" s="233"/>
      <c r="AH28" s="233"/>
      <c r="AJ28" s="203">
        <f t="shared" si="0"/>
        <v>0</v>
      </c>
    </row>
    <row r="29" spans="1:36" ht="17.25" customHeight="1" x14ac:dyDescent="0.2">
      <c r="A29" s="237" t="s">
        <v>147</v>
      </c>
      <c r="B29" s="205">
        <f>'Oct2025 '!B29+1.25- (COUNTIF(E29:AH29, "VL") * 1) - (COUNTIF(E29:AH29, "HDL") * 0.5)</f>
        <v>7</v>
      </c>
      <c r="C29" s="206">
        <f>'Jun2025 '!C24-COUNTIF(E29:AH29, "SL")-(COUNTIF(E29:AH29, "HDSL") * 0.5)</f>
        <v>5</v>
      </c>
      <c r="D29" s="207"/>
      <c r="E29" s="218"/>
      <c r="F29" s="218"/>
      <c r="G29" s="218"/>
      <c r="H29" s="218"/>
      <c r="I29" s="218"/>
      <c r="J29" s="218"/>
      <c r="K29" s="218"/>
      <c r="L29" s="218"/>
      <c r="M29" s="218"/>
      <c r="N29" s="218"/>
      <c r="O29" s="218"/>
      <c r="P29" s="229"/>
      <c r="Q29" s="218"/>
      <c r="R29" s="218"/>
      <c r="S29" s="218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33"/>
      <c r="AH29" s="233"/>
      <c r="AJ29" s="203">
        <f t="shared" si="0"/>
        <v>0</v>
      </c>
    </row>
    <row r="30" spans="1:36" ht="17.25" customHeight="1" x14ac:dyDescent="0.2">
      <c r="A30" s="209" t="s">
        <v>168</v>
      </c>
      <c r="B30" s="205">
        <f>'Oct2025 '!B30+1.25- (COUNTIF(E30:AH30, "VL") * 1) - (COUNTIF(E30:AH30, "HDL") * 0.5)</f>
        <v>0.75</v>
      </c>
      <c r="C30" s="206">
        <f>Sept2025!C28-COUNTIF(E30:AH30, "SL")-(COUNTIF(E30:AH30, "HDSL") * 0.5)</f>
        <v>0</v>
      </c>
      <c r="D30" s="207">
        <f>'Jun2025 '!D25-COUNTIF(E30:AH30, "SPL")</f>
        <v>0</v>
      </c>
      <c r="E30" s="218"/>
      <c r="F30" s="218"/>
      <c r="G30" s="218"/>
      <c r="H30" s="218"/>
      <c r="I30" s="218"/>
      <c r="J30" s="218"/>
      <c r="K30" s="218"/>
      <c r="L30" s="218"/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33"/>
      <c r="AH30" s="233"/>
      <c r="AJ30" s="203">
        <f t="shared" si="0"/>
        <v>0</v>
      </c>
    </row>
    <row r="31" spans="1:36" ht="17.25" customHeight="1" x14ac:dyDescent="0.2">
      <c r="A31" s="209" t="s">
        <v>156</v>
      </c>
      <c r="B31" s="205">
        <f>'Oct2025 '!B31+1.25- (COUNTIF(E31:AH31, "VL") * 1) - (COUNTIF(E31:AH31, "HDL") * 0.5)</f>
        <v>2.5</v>
      </c>
      <c r="C31" s="206">
        <f>Sept2025!C29-COUNTIF(E31:AH31, "SL")-(COUNTIF(E31:AH31, "HDSL") * 0.5)</f>
        <v>0</v>
      </c>
      <c r="D31" s="207">
        <f>'Jun2025 '!D26-COUNTIF(E31:AH31, "SPL")</f>
        <v>0</v>
      </c>
      <c r="E31" s="218"/>
      <c r="F31" s="218"/>
      <c r="G31" s="218" t="s">
        <v>172</v>
      </c>
      <c r="H31" s="218"/>
      <c r="I31" s="218" t="s">
        <v>172</v>
      </c>
      <c r="J31" s="218" t="s">
        <v>172</v>
      </c>
      <c r="K31" s="218" t="s">
        <v>172</v>
      </c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  <c r="AA31" s="218"/>
      <c r="AB31" s="218" t="s">
        <v>172</v>
      </c>
      <c r="AC31" s="218"/>
      <c r="AD31" s="218"/>
      <c r="AE31" s="218"/>
      <c r="AF31" s="218"/>
      <c r="AG31" s="233"/>
      <c r="AH31" s="233"/>
      <c r="AJ31" s="203">
        <f t="shared" si="0"/>
        <v>0</v>
      </c>
    </row>
    <row r="32" spans="1:36" ht="17.25" customHeight="1" x14ac:dyDescent="0.2">
      <c r="A32" s="209" t="s">
        <v>183</v>
      </c>
      <c r="B32" s="205">
        <f>'Oct2025 '!B32+1.25- (COUNTIF(E32:AH32, "VL") * 1) - (COUNTIF(E32:AH32, "HDL") * 0.5)</f>
        <v>4.75</v>
      </c>
      <c r="C32" s="206">
        <f>Sept2025!C30-COUNTIF(E32:AH32, "SL")-(COUNTIF(E32:AH32, "HDSL") * 0.5)</f>
        <v>0</v>
      </c>
      <c r="D32" s="207">
        <f>'Jun2025 '!D27-COUNTIF(E32:AH32, "SPL")</f>
        <v>4</v>
      </c>
      <c r="E32" s="218"/>
      <c r="F32" s="218"/>
      <c r="G32" s="218"/>
      <c r="H32" s="218"/>
      <c r="I32" s="218"/>
      <c r="J32" s="218"/>
      <c r="K32" s="218"/>
      <c r="L32" s="218"/>
      <c r="M32" s="218"/>
      <c r="N32" s="218" t="s">
        <v>172</v>
      </c>
      <c r="O32" s="218"/>
      <c r="P32" s="218"/>
      <c r="Q32" s="218" t="s">
        <v>182</v>
      </c>
      <c r="R32" s="218"/>
      <c r="S32" s="218"/>
      <c r="T32" s="218"/>
      <c r="U32" s="218"/>
      <c r="V32" s="218"/>
      <c r="W32" s="218"/>
      <c r="X32" s="218"/>
      <c r="Y32" s="218"/>
      <c r="Z32" s="218"/>
      <c r="AA32" s="218"/>
      <c r="AB32" s="218"/>
      <c r="AC32" s="218"/>
      <c r="AD32" s="218"/>
      <c r="AE32" s="218" t="s">
        <v>182</v>
      </c>
      <c r="AF32" s="218"/>
      <c r="AG32" s="233"/>
      <c r="AH32" s="233"/>
      <c r="AJ32" s="203">
        <f t="shared" si="0"/>
        <v>0</v>
      </c>
    </row>
    <row r="33" spans="1:36" ht="17.25" customHeight="1" x14ac:dyDescent="0.2">
      <c r="A33" s="209" t="s">
        <v>350</v>
      </c>
      <c r="B33" s="205">
        <f>'Oct2025 '!B33+1.25- (COUNTIF(E33:AH33, "VL") * 1) - (COUNTIF(E33:AH33, "HDL") * 0.5)</f>
        <v>11</v>
      </c>
      <c r="C33" s="206">
        <f>'Oct2025 '!C33+0.416-COUNTIF(E33:AH33, "SL")-(COUNTIF(E33:AH33, "HDSL") * 0.5)</f>
        <v>4.5813333333333288</v>
      </c>
      <c r="D33" s="207">
        <f>'Jun2025 '!D28-COUNTIF(E33:AH33, "SPL")</f>
        <v>0</v>
      </c>
      <c r="E33" s="218"/>
      <c r="F33" s="218"/>
      <c r="G33" s="218"/>
      <c r="H33" s="218"/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  <c r="AA33" s="218"/>
      <c r="AB33" s="218"/>
      <c r="AC33" s="218"/>
      <c r="AD33" s="218"/>
      <c r="AE33" s="218"/>
      <c r="AF33" s="218"/>
      <c r="AG33" s="233"/>
      <c r="AH33" s="233"/>
      <c r="AJ33" s="203">
        <f t="shared" si="0"/>
        <v>0</v>
      </c>
    </row>
    <row r="34" spans="1:36" ht="17.25" customHeight="1" x14ac:dyDescent="0.2">
      <c r="A34" s="209" t="s">
        <v>146</v>
      </c>
      <c r="B34" s="205">
        <f>'Oct2025 '!B34+1.25- (COUNTIF(E34:AH34, "VL") * 1) - (COUNTIF(E34:AH34, "HDL") * 0.5)</f>
        <v>0.25</v>
      </c>
      <c r="C34" s="206">
        <f>Sept2025!C32-COUNTIF(E34:AH34, "SL")-(COUNTIF(E34:AH34, "HDSL") * 0.5)</f>
        <v>0</v>
      </c>
      <c r="D34" s="207">
        <f>'Jun2025 '!D29-COUNTIF(E34:AH34, "SPL")</f>
        <v>0</v>
      </c>
      <c r="E34" s="218"/>
      <c r="F34" s="218" t="s">
        <v>172</v>
      </c>
      <c r="G34" s="218"/>
      <c r="H34" s="218"/>
      <c r="I34" s="218"/>
      <c r="J34" s="218"/>
      <c r="K34" s="218"/>
      <c r="L34" s="218"/>
      <c r="M34" s="218"/>
      <c r="N34" s="218" t="s">
        <v>172</v>
      </c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  <c r="AA34" s="218"/>
      <c r="AB34" s="218"/>
      <c r="AC34" s="218"/>
      <c r="AD34" s="218"/>
      <c r="AE34" s="218"/>
      <c r="AF34" s="218"/>
      <c r="AG34" s="233"/>
      <c r="AH34" s="233"/>
      <c r="AJ34" s="203">
        <f t="shared" si="0"/>
        <v>0</v>
      </c>
    </row>
    <row r="35" spans="1:36" ht="17.25" customHeight="1" x14ac:dyDescent="0.2">
      <c r="A35" s="204" t="s">
        <v>184</v>
      </c>
      <c r="B35" s="205">
        <f>'Oct2025 '!B35+1.25- (COUNTIF(E35:AH35, "VL") * 1) - (COUNTIF(E35:AH35, "HDL") * 0.5)</f>
        <v>3.25</v>
      </c>
      <c r="C35" s="206">
        <f>Sept2025!C33-COUNTIF(E35:AH35, "SL")-(COUNTIF(E35:AH35, "HDSL") * 0.5)</f>
        <v>0</v>
      </c>
      <c r="D35" s="207">
        <f>'Jun2025 '!D30-COUNTIF(E35:AH35, "SPL")</f>
        <v>0</v>
      </c>
      <c r="E35" s="218"/>
      <c r="F35" s="218"/>
      <c r="G35" s="218"/>
      <c r="H35" s="218"/>
      <c r="I35" s="218"/>
      <c r="J35" s="218"/>
      <c r="K35" s="218"/>
      <c r="L35" s="218"/>
      <c r="M35" s="218"/>
      <c r="N35" s="218" t="s">
        <v>172</v>
      </c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  <c r="AD35" s="218"/>
      <c r="AE35" s="218"/>
      <c r="AF35" s="218" t="s">
        <v>172</v>
      </c>
      <c r="AG35" s="233"/>
      <c r="AH35" s="233"/>
      <c r="AJ35" s="203">
        <f t="shared" si="0"/>
        <v>0</v>
      </c>
    </row>
    <row r="36" spans="1:36" ht="17.25" customHeight="1" x14ac:dyDescent="0.2">
      <c r="A36" s="213" t="s">
        <v>351</v>
      </c>
      <c r="B36" s="205">
        <f>'Oct2025 '!B36+1.25- (COUNTIF(E36:AH36, "VL") * 1) - (COUNTIF(E36:AH36, "HDL") * 0.5)</f>
        <v>14</v>
      </c>
      <c r="C36" s="206">
        <f>'Oct2025 '!C36+0.416-COUNTIF(E36:AH36, "SL")-(COUNTIF(E36:AH36, "HDSL") * 0.5)</f>
        <v>4.9979999999999949</v>
      </c>
      <c r="D36" s="207">
        <f>'Jun2025 '!D31-COUNTIF(E36:AH36, "SPL")</f>
        <v>0</v>
      </c>
      <c r="E36" s="218"/>
      <c r="F36" s="218"/>
      <c r="G36" s="218"/>
      <c r="H36" s="218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  <c r="AA36" s="218"/>
      <c r="AB36" s="218"/>
      <c r="AC36" s="218"/>
      <c r="AD36" s="218"/>
      <c r="AE36" s="218"/>
      <c r="AF36" s="218"/>
      <c r="AG36" s="233"/>
      <c r="AH36" s="233"/>
      <c r="AJ36" s="203">
        <f t="shared" si="0"/>
        <v>0</v>
      </c>
    </row>
    <row r="37" spans="1:36" ht="17.25" customHeight="1" x14ac:dyDescent="0.2">
      <c r="A37" s="212" t="s">
        <v>335</v>
      </c>
      <c r="B37" s="205">
        <f>'Oct2025 '!B37+1.25- (COUNTIF(E37:AH37, "VL") * 1) - (COUNTIF(E37:AH37, "HDL") * 0.5)</f>
        <v>3.25</v>
      </c>
      <c r="C37" s="206">
        <f>'Oct2025 '!C37-COUNTIF(E37:AH37, "SL")-(COUNTIF(E37:AH37, "HDSL") * 0.5)</f>
        <v>1.4986666666666602</v>
      </c>
      <c r="D37" s="207">
        <f>'Jun2025 '!D32-COUNTIF(E37:AH37, "SPL")</f>
        <v>0</v>
      </c>
      <c r="E37" s="218"/>
      <c r="F37" s="218"/>
      <c r="G37" s="218"/>
      <c r="H37" s="218"/>
      <c r="I37" s="218"/>
      <c r="J37" s="218"/>
      <c r="K37" s="218"/>
      <c r="L37" s="218"/>
      <c r="M37" s="218"/>
      <c r="N37" s="218" t="s">
        <v>172</v>
      </c>
      <c r="O37" s="218" t="s">
        <v>172</v>
      </c>
      <c r="P37" s="218" t="s">
        <v>172</v>
      </c>
      <c r="Q37" s="218" t="s">
        <v>172</v>
      </c>
      <c r="R37" s="218"/>
      <c r="S37" s="218"/>
      <c r="T37" s="218"/>
      <c r="U37" s="218" t="s">
        <v>172</v>
      </c>
      <c r="V37" s="218" t="s">
        <v>172</v>
      </c>
      <c r="W37" s="218" t="s">
        <v>172</v>
      </c>
      <c r="X37" s="218" t="s">
        <v>172</v>
      </c>
      <c r="Y37" s="218"/>
      <c r="Z37" s="218"/>
      <c r="AA37" s="218"/>
      <c r="AB37" s="218"/>
      <c r="AC37" s="218"/>
      <c r="AD37" s="218"/>
      <c r="AE37" s="218" t="s">
        <v>173</v>
      </c>
      <c r="AF37" s="218"/>
      <c r="AG37" s="233"/>
      <c r="AH37" s="233"/>
      <c r="AJ37" s="203">
        <f t="shared" si="0"/>
        <v>1</v>
      </c>
    </row>
    <row r="38" spans="1:36" ht="17.25" customHeight="1" x14ac:dyDescent="0.2">
      <c r="A38" s="212" t="s">
        <v>336</v>
      </c>
      <c r="B38" s="205">
        <f>'Oct2025 '!B38+1.25- (COUNTIF(E38:AH38, "VL") * 1) - (COUNTIF(E38:AH38, "HDL") * 0.5)</f>
        <v>14.25</v>
      </c>
      <c r="C38" s="206">
        <f>Sept2025!C36-COUNTIF(E38:AH38, "SL")-(COUNTIF(E38:AH38, "HDSL") * 0.5)</f>
        <v>1.1666666666666603</v>
      </c>
      <c r="D38" s="207">
        <f>'Jun2025 '!D33-COUNTIF(E38:AH38, "SPL")</f>
        <v>0</v>
      </c>
      <c r="E38" s="218"/>
      <c r="F38" s="218"/>
      <c r="G38" s="218"/>
      <c r="H38" s="218"/>
      <c r="I38" s="218"/>
      <c r="J38" s="218"/>
      <c r="K38" s="218"/>
      <c r="L38" s="218"/>
      <c r="M38" s="218"/>
      <c r="N38" s="218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  <c r="AA38" s="218"/>
      <c r="AB38" s="218"/>
      <c r="AC38" s="218"/>
      <c r="AD38" s="218"/>
      <c r="AE38" s="218"/>
      <c r="AF38" s="218"/>
      <c r="AG38" s="233"/>
      <c r="AH38" s="233"/>
      <c r="AJ38" s="203">
        <f t="shared" si="0"/>
        <v>0</v>
      </c>
    </row>
    <row r="39" spans="1:36" ht="17.25" customHeight="1" x14ac:dyDescent="0.2">
      <c r="A39" s="204" t="s">
        <v>157</v>
      </c>
      <c r="B39" s="205">
        <f>'Oct2025 '!B39+1.25- (COUNTIF(E39:AH39, "VL") * 1) - (COUNTIF(E39:AH39, "HDL") * 0.5)</f>
        <v>6.5</v>
      </c>
      <c r="C39" s="206">
        <f>Sept2025!C37-COUNTIF(E39:AH39, "SL")-(COUNTIF(E39:AH39, "HDSL") * 0.5)</f>
        <v>0</v>
      </c>
      <c r="D39" s="207">
        <f>'Jun2025 '!D34-COUNTIF(E39:AH39, "SPL")</f>
        <v>0</v>
      </c>
      <c r="E39" s="218"/>
      <c r="F39" s="218"/>
      <c r="G39" s="218"/>
      <c r="H39" s="218"/>
      <c r="I39" s="218"/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33"/>
      <c r="AH39" s="233"/>
      <c r="AJ39" s="203">
        <f t="shared" si="0"/>
        <v>0</v>
      </c>
    </row>
    <row r="40" spans="1:36" ht="17.25" customHeight="1" x14ac:dyDescent="0.2">
      <c r="A40" s="204" t="s">
        <v>161</v>
      </c>
      <c r="B40" s="205">
        <f>'Oct2025 '!B40+1.25- (COUNTIF(E40:AH40, "VL") * 1) - (COUNTIF(E40:AH40, "HDL") * 0.5)</f>
        <v>4.25</v>
      </c>
      <c r="C40" s="206">
        <f>Sept2025!C38-COUNTIF(E40:AH40, "SL")-(COUNTIF(E40:AH40, "HDSL") * 0.5)</f>
        <v>0</v>
      </c>
      <c r="D40" s="207">
        <f>'Jun2025 '!D35-COUNTIF(E40:AH40, "SPL")</f>
        <v>0</v>
      </c>
      <c r="E40" s="218"/>
      <c r="F40" s="218"/>
      <c r="G40" s="218"/>
      <c r="H40" s="218"/>
      <c r="I40" s="218"/>
      <c r="J40" s="218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  <c r="AA40" s="218"/>
      <c r="AB40" s="218"/>
      <c r="AC40" s="218"/>
      <c r="AD40" s="218"/>
      <c r="AE40" s="218"/>
      <c r="AF40" s="218"/>
      <c r="AG40" s="233"/>
      <c r="AH40" s="233"/>
      <c r="AJ40" s="203">
        <f t="shared" si="0"/>
        <v>0</v>
      </c>
    </row>
    <row r="41" spans="1:36" ht="17.25" customHeight="1" x14ac:dyDescent="0.2">
      <c r="A41" s="209" t="s">
        <v>338</v>
      </c>
      <c r="B41" s="205">
        <f>'Oct2025 '!B41+1.25- (COUNTIF(E41:AH41, "VL") * 1) - (COUNTIF(E41:AH41, "HDL") * 0.5)</f>
        <v>11.25</v>
      </c>
      <c r="C41" s="206">
        <f>Sept2025!C39+0.416-COUNTIF(E41:AH41, "SL")-(COUNTIF(E41:AH41, "HDSL") * 0.5)</f>
        <v>2.4986666666666597</v>
      </c>
      <c r="D41" s="207">
        <f>'Jun2025 '!D36-COUNTIF(E41:AH41, "SPL")</f>
        <v>0</v>
      </c>
      <c r="E41" s="208"/>
      <c r="F41" s="208"/>
      <c r="G41" s="208"/>
      <c r="H41" s="218"/>
      <c r="I41" s="218"/>
      <c r="J41" s="218"/>
      <c r="K41" s="218"/>
      <c r="L41" s="218"/>
      <c r="M41" s="218"/>
      <c r="N41" s="218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  <c r="AA41" s="218"/>
      <c r="AB41" s="218"/>
      <c r="AC41" s="218"/>
      <c r="AD41" s="218"/>
      <c r="AE41" s="218"/>
      <c r="AF41" s="218"/>
      <c r="AG41" s="233"/>
      <c r="AH41" s="233"/>
      <c r="AJ41" s="203">
        <f t="shared" si="0"/>
        <v>0</v>
      </c>
    </row>
    <row r="42" spans="1:36" ht="17.25" customHeight="1" x14ac:dyDescent="0.2">
      <c r="A42" s="209" t="s">
        <v>358</v>
      </c>
      <c r="B42" s="205">
        <f>'Oct2025 '!B42+1.25- (COUNTIF(E42:AH42, "VL") * 1) - (COUNTIF(E42:AH42, "HDL") * 0.5)</f>
        <v>11.25</v>
      </c>
      <c r="C42" s="206">
        <f>MIN('Oct2025 '!C42+ 0.416)-COUNTIF(E42:AH42, "SL")-(COUNTIF(E42:AH42, "HDSL") * 0.5)</f>
        <v>1.7519999999999998</v>
      </c>
      <c r="D42" s="207"/>
      <c r="E42" s="218"/>
      <c r="F42" s="218"/>
      <c r="G42" s="218"/>
      <c r="H42" s="218"/>
      <c r="I42" s="218"/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33"/>
      <c r="AH42" s="233"/>
      <c r="AJ42" s="203">
        <f t="shared" si="0"/>
        <v>0</v>
      </c>
    </row>
    <row r="43" spans="1:36" ht="17.25" customHeight="1" x14ac:dyDescent="0.2">
      <c r="A43" s="238" t="s">
        <v>167</v>
      </c>
      <c r="B43" s="205">
        <f>'Oct2025 '!B43+1.25- (COUNTIF(E43:AH43, "VL") * 1) - (COUNTIF(E43:AH43, "HDL") * 0.5)</f>
        <v>15</v>
      </c>
      <c r="C43" s="206">
        <f>Sept2025!C41-COUNTIF(E43:AH43, "SL")-(COUNTIF(E43:AH43, "HDSL") * 0.5)</f>
        <v>0</v>
      </c>
      <c r="D43" s="207">
        <f>'Jun2025 '!D37-COUNTIF(E43:AH43, "SPL")</f>
        <v>0</v>
      </c>
      <c r="E43" s="218"/>
      <c r="F43" s="218"/>
      <c r="G43" s="218"/>
      <c r="H43" s="218"/>
      <c r="I43" s="218"/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 t="s">
        <v>175</v>
      </c>
      <c r="Z43" s="218"/>
      <c r="AA43" s="218"/>
      <c r="AB43" s="218"/>
      <c r="AC43" s="218"/>
      <c r="AD43" s="218"/>
      <c r="AE43" s="218" t="s">
        <v>182</v>
      </c>
      <c r="AF43" s="218" t="s">
        <v>172</v>
      </c>
      <c r="AG43" s="233"/>
      <c r="AH43" s="233"/>
      <c r="AJ43" s="203">
        <f t="shared" si="0"/>
        <v>0</v>
      </c>
    </row>
    <row r="44" spans="1:36" ht="17.25" customHeight="1" x14ac:dyDescent="0.2">
      <c r="A44" s="209" t="s">
        <v>353</v>
      </c>
      <c r="B44" s="205">
        <f>'Oct2025 '!B44+1.25- (COUNTIF(E44:AH44, "VL") * 1) - (COUNTIF(E44:AH44, "HDL") * 0.5)</f>
        <v>8</v>
      </c>
      <c r="C44" s="206">
        <f>'Oct2025 '!C44+0.416-COUNTIF(E44:AH44, "SL")-(COUNTIF(E44:AH44, "HDSL") * 0.5)</f>
        <v>2.997999999999994</v>
      </c>
      <c r="D44" s="207">
        <f>'Jun2025 '!D38-COUNTIF(E44:AH44, "SPL")</f>
        <v>0</v>
      </c>
      <c r="E44" s="218"/>
      <c r="F44" s="218"/>
      <c r="G44" s="218"/>
      <c r="H44" s="218"/>
      <c r="I44" s="218" t="s">
        <v>172</v>
      </c>
      <c r="J44" s="218" t="s">
        <v>172</v>
      </c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22"/>
      <c r="AH44" s="222"/>
      <c r="AJ44" s="203">
        <f t="shared" si="0"/>
        <v>0</v>
      </c>
    </row>
    <row r="45" spans="1:36" ht="17.25" customHeight="1" x14ac:dyDescent="0.2">
      <c r="A45" s="204" t="s">
        <v>159</v>
      </c>
      <c r="B45" s="205">
        <f>'Oct2025 '!B45+1.25- (COUNTIF(E45:AH45, "VL") * 1) - (COUNTIF(E45:AH45, "HDL") * 0.5)</f>
        <v>6.75</v>
      </c>
      <c r="C45" s="206">
        <f>Sept2025!C43-COUNTIF(E45:AH45, "SL")-(COUNTIF(E45:AH45, "HDSL") * 0.5)</f>
        <v>0</v>
      </c>
      <c r="D45" s="207">
        <f>'Jun2025 '!D39-COUNTIF(E45:AH45, "SPL")</f>
        <v>0</v>
      </c>
      <c r="E45" s="218"/>
      <c r="F45" s="218"/>
      <c r="G45" s="218"/>
      <c r="H45" s="218"/>
      <c r="I45" s="218"/>
      <c r="J45" s="218"/>
      <c r="K45" s="218"/>
      <c r="L45" s="218"/>
      <c r="M45" s="218"/>
      <c r="N45" s="218" t="s">
        <v>172</v>
      </c>
      <c r="O45" s="218"/>
      <c r="P45" s="218"/>
      <c r="Q45" s="218"/>
      <c r="R45" s="218"/>
      <c r="S45" s="218"/>
      <c r="T45" s="218"/>
      <c r="U45" s="218"/>
      <c r="V45" s="218" t="s">
        <v>172</v>
      </c>
      <c r="W45" s="218"/>
      <c r="X45" s="218"/>
      <c r="Y45" s="218"/>
      <c r="Z45" s="218"/>
      <c r="AA45" s="218"/>
      <c r="AB45" s="218"/>
      <c r="AC45" s="218"/>
      <c r="AD45" s="218" t="s">
        <v>172</v>
      </c>
      <c r="AE45" s="218"/>
      <c r="AF45" s="218"/>
      <c r="AG45" s="233"/>
      <c r="AH45" s="233"/>
      <c r="AJ45" s="203">
        <f t="shared" si="0"/>
        <v>0</v>
      </c>
    </row>
    <row r="46" spans="1:36" ht="17.25" customHeight="1" x14ac:dyDescent="0.2">
      <c r="A46" s="204" t="s">
        <v>223</v>
      </c>
      <c r="B46" s="205">
        <f>'Oct2025 '!B46+1.25- (COUNTIF(E46:AH46, "VL") * 1) - (COUNTIF(E46:AH46, "HDL") * 0.5)</f>
        <v>8.25</v>
      </c>
      <c r="C46" s="206">
        <f>Sept2025!C44-COUNTIF(E46:AH46, "SL")-(COUNTIF(E46:AH46, "HDSL") * 0.5)</f>
        <v>2.4959999999999964</v>
      </c>
      <c r="D46" s="207">
        <f>'Jun2025 '!D40-COUNTIF(E46:AH46, "SPL")</f>
        <v>0</v>
      </c>
      <c r="E46" s="218"/>
      <c r="F46" s="218"/>
      <c r="G46" s="218"/>
      <c r="H46" s="218"/>
      <c r="I46" s="218" t="s">
        <v>182</v>
      </c>
      <c r="J46" s="218"/>
      <c r="K46" s="218"/>
      <c r="L46" s="218"/>
      <c r="M46" s="218"/>
      <c r="N46" s="218"/>
      <c r="O46" s="218" t="s">
        <v>172</v>
      </c>
      <c r="P46" s="218"/>
      <c r="Q46" s="218"/>
      <c r="R46" s="218"/>
      <c r="S46" s="218"/>
      <c r="T46" s="218"/>
      <c r="U46" s="218"/>
      <c r="V46" s="218"/>
      <c r="W46" s="218"/>
      <c r="X46" s="218"/>
      <c r="Y46" s="218" t="s">
        <v>173</v>
      </c>
      <c r="Z46" s="218"/>
      <c r="AA46" s="218"/>
      <c r="AB46" s="218"/>
      <c r="AC46" s="218"/>
      <c r="AD46" s="218"/>
      <c r="AE46" s="218" t="s">
        <v>172</v>
      </c>
      <c r="AF46" s="218" t="s">
        <v>172</v>
      </c>
      <c r="AG46" s="233"/>
      <c r="AH46" s="233"/>
      <c r="AJ46" s="203">
        <f t="shared" si="0"/>
        <v>1</v>
      </c>
    </row>
    <row r="47" spans="1:36" ht="17.25" customHeight="1" x14ac:dyDescent="0.2">
      <c r="A47" s="215" t="s">
        <v>359</v>
      </c>
      <c r="B47" s="205">
        <f>'Oct2025 '!B47+1.25- (COUNTIF(E47:AH47, "VL") * 1) - (COUNTIF(E47:AH47, "HDL") * 0.5)</f>
        <v>8.25</v>
      </c>
      <c r="C47" s="206">
        <f>MIN('Oct2025 '!C47 + 0.416)-COUNTIF(E47:AH47, "SL")-(COUNTIF(E47:AH47, "HDSL") * 0.5)</f>
        <v>3.7479999999999998</v>
      </c>
      <c r="D47" s="207"/>
      <c r="E47" s="218"/>
      <c r="F47" s="218"/>
      <c r="G47" s="218"/>
      <c r="H47" s="218"/>
      <c r="I47" s="218"/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08"/>
      <c r="Y47" s="208"/>
      <c r="Z47" s="208"/>
      <c r="AA47" s="208"/>
      <c r="AB47" s="208"/>
      <c r="AC47" s="218"/>
      <c r="AD47" s="218"/>
      <c r="AE47" s="218"/>
      <c r="AF47" s="218"/>
      <c r="AG47" s="233"/>
      <c r="AH47" s="233"/>
      <c r="AJ47" s="203">
        <f t="shared" si="0"/>
        <v>0</v>
      </c>
    </row>
    <row r="48" spans="1:36" ht="17.25" customHeight="1" x14ac:dyDescent="0.2">
      <c r="A48" s="204" t="s">
        <v>185</v>
      </c>
      <c r="B48" s="205">
        <f>'Oct2025 '!B48+1.25- (COUNTIF(E48:AH48, "VL") * 1) - (COUNTIF(E48:AH48, "HDL") * 0.5)</f>
        <v>5.25</v>
      </c>
      <c r="C48" s="206">
        <f>'Oct2025 '!C48-COUNTIF(E48:AH48, "SL")-(COUNTIF(E48:AH48, "HDSL") * 0.5)</f>
        <v>1</v>
      </c>
      <c r="D48" s="207">
        <f>'Jun2025 '!D41-COUNTIF(E48:AH48, "SPL")</f>
        <v>0</v>
      </c>
      <c r="E48" s="218"/>
      <c r="F48" s="218"/>
      <c r="G48" s="21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  <c r="AA48" s="218"/>
      <c r="AB48" s="218"/>
      <c r="AC48" s="218"/>
      <c r="AD48" s="218"/>
      <c r="AE48" s="218"/>
      <c r="AF48" s="218"/>
      <c r="AG48" s="233"/>
      <c r="AH48" s="233"/>
      <c r="AJ48" s="203">
        <f t="shared" si="0"/>
        <v>0</v>
      </c>
    </row>
    <row r="49" spans="1:36" ht="15.75" customHeight="1" x14ac:dyDescent="0.2">
      <c r="A49" s="215" t="s">
        <v>360</v>
      </c>
      <c r="B49" s="205">
        <f>'Oct2025 '!B49+1.25- (COUNTIF(E49:AH49, "VL") * 1) - (COUNTIF(E49:AH49, "HDL") * 0.5)</f>
        <v>3.25</v>
      </c>
      <c r="C49" s="206">
        <f>MIN('Oct2025 '!C49 +0.416, 5)-COUNTIF(E49:AH49, "SL")-(COUNTIF(E49:AH49, "HDSL") * 0.5)</f>
        <v>0.74799999999999978</v>
      </c>
      <c r="D49" s="207"/>
      <c r="E49" s="218"/>
      <c r="F49" s="218"/>
      <c r="G49" s="218" t="s">
        <v>172</v>
      </c>
      <c r="H49" s="218"/>
      <c r="I49" s="218"/>
      <c r="J49" s="218"/>
      <c r="K49" s="218"/>
      <c r="L49" s="218"/>
      <c r="M49" s="218"/>
      <c r="N49" s="218" t="s">
        <v>172</v>
      </c>
      <c r="O49" s="218"/>
      <c r="P49" s="218"/>
      <c r="Q49" s="218"/>
      <c r="R49" s="218" t="s">
        <v>172</v>
      </c>
      <c r="S49" s="218"/>
      <c r="T49" s="218"/>
      <c r="U49" s="218"/>
      <c r="V49" s="218"/>
      <c r="W49" s="218"/>
      <c r="X49" s="218"/>
      <c r="Y49" s="218"/>
      <c r="Z49" s="218"/>
      <c r="AA49" s="218"/>
      <c r="AB49" s="218"/>
      <c r="AC49" s="218"/>
      <c r="AD49" s="218"/>
      <c r="AE49" s="218"/>
      <c r="AF49" s="218"/>
      <c r="AG49" s="233"/>
      <c r="AH49" s="233"/>
      <c r="AJ49" s="203">
        <f t="shared" si="0"/>
        <v>0</v>
      </c>
    </row>
    <row r="50" spans="1:36" ht="15.75" customHeight="1" x14ac:dyDescent="0.2">
      <c r="A50" s="204" t="s">
        <v>148</v>
      </c>
      <c r="B50" s="205">
        <f>'Oct2025 '!B50+1.25- (COUNTIF(E50:AH50, "VL") * 1) - (COUNTIF(E50:AH50, "HDL") * 0.5)</f>
        <v>11.25</v>
      </c>
      <c r="C50" s="206">
        <f>'May2025 '!C42-COUNTIF(E50:AH50, "SL")-(COUNTIF(E50:AH50, "HDSL") * 0.5)</f>
        <v>1.5</v>
      </c>
      <c r="D50" s="207">
        <f>'Jun2025 '!D42-COUNTIF(E50:AH50, "SPL")</f>
        <v>0</v>
      </c>
      <c r="E50" s="218"/>
      <c r="F50" s="218"/>
      <c r="G50" s="218"/>
      <c r="H50" s="218"/>
      <c r="I50" s="218"/>
      <c r="J50" s="218"/>
      <c r="K50" s="218"/>
      <c r="L50" s="218"/>
      <c r="M50" s="218"/>
      <c r="N50" s="218" t="s">
        <v>172</v>
      </c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  <c r="AA50" s="218"/>
      <c r="AB50" s="218"/>
      <c r="AC50" s="218"/>
      <c r="AD50" s="218"/>
      <c r="AE50" s="218"/>
      <c r="AF50" s="218"/>
      <c r="AG50" s="233"/>
      <c r="AH50" s="233"/>
      <c r="AJ50" s="203">
        <f t="shared" si="0"/>
        <v>0</v>
      </c>
    </row>
    <row r="51" spans="1:36" ht="15.75" customHeight="1" x14ac:dyDescent="0.2">
      <c r="A51" s="237" t="s">
        <v>171</v>
      </c>
      <c r="B51" s="205">
        <f>'Oct2025 '!B51+1.25- (COUNTIF(E51:AH51, "VL") * 1) - (COUNTIF(E51:AH51, "HDL") * 0.5)</f>
        <v>26.5</v>
      </c>
      <c r="C51" s="206">
        <f>'May2025 '!C43-COUNTIF(E51:AH51, "SL")-(COUNTIF(E51:AH51, "HDSL") * 0.5)</f>
        <v>3</v>
      </c>
      <c r="D51" s="207">
        <f>'Jun2025 '!D43-COUNTIF(E51:AH51, "SPL")</f>
        <v>0</v>
      </c>
      <c r="E51" s="218"/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33"/>
      <c r="AH51" s="233"/>
      <c r="AJ51" s="203">
        <f t="shared" si="0"/>
        <v>0</v>
      </c>
    </row>
    <row r="52" spans="1:36" ht="15.75" customHeight="1" x14ac:dyDescent="0.2">
      <c r="A52" s="204" t="s">
        <v>186</v>
      </c>
      <c r="B52" s="205">
        <f>'Oct2025 '!B52+1.25- (COUNTIF(E52:AH52, "VL") * 1) - (COUNTIF(E52:AH52, "HDL") * 0.5)</f>
        <v>14.25</v>
      </c>
      <c r="C52" s="206">
        <f>'Jul2025'!C44-COUNTIF(E52:AH52, "SL")-(COUNTIF(E52:AH52, "HDSL") * 0.5)</f>
        <v>4.5</v>
      </c>
      <c r="D52" s="207">
        <f>'Jun2025 '!D44-COUNTIF(E52:AH52, "SPL")</f>
        <v>0</v>
      </c>
      <c r="E52" s="218"/>
      <c r="F52" s="218"/>
      <c r="G52" s="218"/>
      <c r="H52" s="218"/>
      <c r="I52" s="218"/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  <c r="AF52" s="218"/>
      <c r="AG52" s="233"/>
      <c r="AH52" s="233"/>
      <c r="AJ52" s="203">
        <f t="shared" si="0"/>
        <v>0</v>
      </c>
    </row>
    <row r="53" spans="1:36" ht="15.75" customHeight="1" x14ac:dyDescent="0.2">
      <c r="A53" s="215" t="s">
        <v>368</v>
      </c>
      <c r="B53" s="205">
        <f>'Oct2025 '!B53+1.25- (COUNTIF(E53:AH53, "VL") * 1) - (COUNTIF(E53:AH53, "HDL") * 0.5)</f>
        <v>6.25</v>
      </c>
      <c r="C53" s="206">
        <f>MIN('Oct2025 '!C53 + 0.416, 5)-COUNTIF(E53:AH53, "SL")-(COUNTIF(E53:AH53, "HDSL") * 0.5)</f>
        <v>3.7479999999999998</v>
      </c>
      <c r="D53" s="207"/>
      <c r="E53" s="218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  <c r="AA53" s="218"/>
      <c r="AB53" s="218"/>
      <c r="AC53" s="218"/>
      <c r="AD53" s="218"/>
      <c r="AE53" s="218"/>
      <c r="AF53" s="218"/>
      <c r="AG53" s="233"/>
      <c r="AH53" s="233"/>
      <c r="AJ53" s="203">
        <f t="shared" si="0"/>
        <v>0</v>
      </c>
    </row>
    <row r="54" spans="1:36" ht="15.75" customHeight="1" x14ac:dyDescent="0.2">
      <c r="A54" s="209" t="s">
        <v>188</v>
      </c>
      <c r="B54" s="205">
        <f>'Oct2025 '!B54+1.25- (COUNTIF(E54:AH54, "VL") * 1) - (COUNTIF(E54:AH54, "HDL") * 0.5)</f>
        <v>-0.25</v>
      </c>
      <c r="C54" s="206">
        <f>Sept2025!C52-COUNTIF(E54:AH54, "SL")-(COUNTIF(E54:AH54, "HDSL") * 0.5)</f>
        <v>0</v>
      </c>
      <c r="D54" s="207">
        <f>'Jun2025 '!D45-COUNTIF(E54:AH54, "SPL")</f>
        <v>0</v>
      </c>
      <c r="E54" s="218"/>
      <c r="F54" s="218"/>
      <c r="G54" s="218"/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  <c r="AA54" s="218"/>
      <c r="AB54" s="218"/>
      <c r="AC54" s="218"/>
      <c r="AD54" s="218"/>
      <c r="AE54" s="218"/>
      <c r="AF54" s="218"/>
      <c r="AG54" s="233"/>
      <c r="AH54" s="233"/>
      <c r="AJ54" s="203">
        <f t="shared" si="0"/>
        <v>0</v>
      </c>
    </row>
    <row r="55" spans="1:36" ht="15.75" customHeight="1" x14ac:dyDescent="0.2">
      <c r="A55" s="204" t="s">
        <v>187</v>
      </c>
      <c r="B55" s="205">
        <f>'Oct2025 '!B55+1.25- (COUNTIF(E55:AH55, "VL") * 1) - (COUNTIF(E55:AH55, "HDL") * 0.5)</f>
        <v>6.5</v>
      </c>
      <c r="C55" s="206">
        <f>'Jul2025'!C46-COUNTIF(E55:AH55, "SL")-(COUNTIF(E55:AH55, "HDSL") * 0.5)</f>
        <v>1.5</v>
      </c>
      <c r="D55" s="207">
        <f>'Jun2025 '!D46-COUNTIF(E55:AH55, "SPL")</f>
        <v>0</v>
      </c>
      <c r="E55" s="218"/>
      <c r="F55" s="218"/>
      <c r="G55" s="218"/>
      <c r="H55" s="218"/>
      <c r="I55" s="218" t="s">
        <v>175</v>
      </c>
      <c r="J55" s="218"/>
      <c r="K55" s="218"/>
      <c r="L55" s="218"/>
      <c r="M55" s="218"/>
      <c r="N55" s="218" t="s">
        <v>172</v>
      </c>
      <c r="O55" s="218"/>
      <c r="P55" s="218"/>
      <c r="Q55" s="218"/>
      <c r="R55" s="218"/>
      <c r="S55" s="218"/>
      <c r="T55" s="218"/>
      <c r="U55" s="218"/>
      <c r="V55" s="218"/>
      <c r="W55" s="218"/>
      <c r="X55" s="218" t="s">
        <v>182</v>
      </c>
      <c r="Y55" s="218"/>
      <c r="Z55" s="218"/>
      <c r="AA55" s="218"/>
      <c r="AB55" s="218" t="s">
        <v>172</v>
      </c>
      <c r="AC55" s="218" t="s">
        <v>172</v>
      </c>
      <c r="AD55" s="218" t="s">
        <v>172</v>
      </c>
      <c r="AE55" s="218" t="s">
        <v>172</v>
      </c>
      <c r="AF55" s="218"/>
      <c r="AG55" s="233"/>
      <c r="AH55" s="233"/>
      <c r="AJ55" s="203">
        <f t="shared" si="0"/>
        <v>0</v>
      </c>
    </row>
    <row r="56" spans="1:36" ht="15.75" customHeight="1" x14ac:dyDescent="0.2">
      <c r="A56" s="209" t="s">
        <v>219</v>
      </c>
      <c r="B56" s="205">
        <f>'Oct2025 '!B56+1.25- (COUNTIF(E56:AH56, "VL") * 1) - (COUNTIF(E56:AH56, "HDL") * 0.5)</f>
        <v>19.5</v>
      </c>
      <c r="C56" s="206">
        <f>'May2025 '!C47-COUNTIF(E56:AH56, "SL")-(COUNTIF(E56:AH56, "HDSL") * 0.5)</f>
        <v>7.4999999999999964</v>
      </c>
      <c r="D56" s="207">
        <f>'Jun2025 '!D47-COUNTIF(E56:AH56, "SPL")</f>
        <v>0</v>
      </c>
      <c r="E56" s="218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  <c r="AA56" s="218"/>
      <c r="AB56" s="218"/>
      <c r="AC56" s="218"/>
      <c r="AD56" s="218"/>
      <c r="AE56" s="218"/>
      <c r="AF56" s="218"/>
      <c r="AG56" s="233"/>
      <c r="AH56" s="233"/>
      <c r="AJ56" s="203">
        <f t="shared" si="0"/>
        <v>0</v>
      </c>
    </row>
    <row r="57" spans="1:36" ht="15.75" customHeight="1" x14ac:dyDescent="0.2">
      <c r="A57" s="215" t="s">
        <v>362</v>
      </c>
      <c r="B57" s="205">
        <f>'Oct2025 '!B57+1.25- (COUNTIF(E57:AH57, "VL") * 1) - (COUNTIF(E57:AH57, "HDL") * 0.5)</f>
        <v>10.25</v>
      </c>
      <c r="C57" s="206">
        <f>MIN('Oct2025 '!C57+0.416)-COUNTIF(E57:AH57, "SL")-(COUNTIF(E57:AH57, "HDSL") * 0.5)</f>
        <v>3.7479999999999998</v>
      </c>
      <c r="D57" s="207"/>
      <c r="E57" s="218"/>
      <c r="F57" s="218"/>
      <c r="G57" s="218"/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  <c r="AA57" s="218"/>
      <c r="AB57" s="218"/>
      <c r="AC57" s="218"/>
      <c r="AD57" s="218"/>
      <c r="AE57" s="218"/>
      <c r="AF57" s="218"/>
      <c r="AG57" s="233"/>
      <c r="AH57" s="233"/>
      <c r="AJ57" s="203">
        <f t="shared" si="0"/>
        <v>0</v>
      </c>
    </row>
    <row r="58" spans="1:36" ht="16.5" customHeight="1" x14ac:dyDescent="0.2">
      <c r="A58" s="204" t="s">
        <v>154</v>
      </c>
      <c r="B58" s="205">
        <f>'Oct2025 '!B58+1.25- (COUNTIF(E58:AH58, "VL") * 1) - (COUNTIF(E58:AH58, "HDL") * 0.5)</f>
        <v>3.75</v>
      </c>
      <c r="C58" s="206">
        <f>'Oct2025 '!C57-COUNTIF(E58:AH58, "SL")-(COUNTIF(E58:AH58, "HDSL") * 0.5)</f>
        <v>2.3319999999999999</v>
      </c>
      <c r="D58" s="207">
        <f>'Jun2025 '!D48-COUNTIF(E58:AH58, "SPL")</f>
        <v>0</v>
      </c>
      <c r="E58" s="218"/>
      <c r="F58" s="218"/>
      <c r="G58" s="218"/>
      <c r="H58" s="218"/>
      <c r="I58" s="218"/>
      <c r="J58" s="218"/>
      <c r="K58" s="218" t="s">
        <v>172</v>
      </c>
      <c r="L58" s="218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36" t="s">
        <v>173</v>
      </c>
      <c r="Y58" s="218"/>
      <c r="Z58" s="218"/>
      <c r="AA58" s="218"/>
      <c r="AB58" s="218"/>
      <c r="AC58" s="218"/>
      <c r="AD58" s="218"/>
      <c r="AE58" s="218"/>
      <c r="AF58" s="218"/>
      <c r="AG58" s="233"/>
      <c r="AH58" s="233"/>
      <c r="AJ58" s="203">
        <f t="shared" si="0"/>
        <v>1</v>
      </c>
    </row>
    <row r="59" spans="1:36" ht="16.5" customHeight="1" x14ac:dyDescent="0.2">
      <c r="A59" s="204" t="s">
        <v>189</v>
      </c>
      <c r="B59" s="205">
        <f>'Oct2025 '!B59+1.25- (COUNTIF(E59:AH59, "VL") * 1) - (COUNTIF(E59:AH59, "HDL") * 0.5)</f>
        <v>11.75</v>
      </c>
      <c r="C59" s="206">
        <f>Sept2025!C57-COUNTIF(E59:AH59, "SL")-(COUNTIF(E59:AH59, "HDSL") * 0.5)</f>
        <v>0</v>
      </c>
      <c r="D59" s="207">
        <f>'Jun2025 '!D49-COUNTIF(E59:AH59, "SPL")</f>
        <v>0</v>
      </c>
      <c r="E59" s="218"/>
      <c r="F59" s="218"/>
      <c r="G59" s="218" t="s">
        <v>173</v>
      </c>
      <c r="H59" s="218"/>
      <c r="I59" s="218"/>
      <c r="J59" s="218"/>
      <c r="K59" s="218"/>
      <c r="L59" s="218"/>
      <c r="M59" s="218"/>
      <c r="N59" s="218" t="s">
        <v>172</v>
      </c>
      <c r="O59" s="218"/>
      <c r="P59" s="218"/>
      <c r="Q59" s="218" t="s">
        <v>173</v>
      </c>
      <c r="R59" s="218"/>
      <c r="S59" s="218"/>
      <c r="T59" s="218"/>
      <c r="U59" s="218"/>
      <c r="V59" s="218"/>
      <c r="W59" s="218"/>
      <c r="X59" s="218"/>
      <c r="Y59" s="218"/>
      <c r="Z59" s="218"/>
      <c r="AA59" s="218"/>
      <c r="AB59" s="218"/>
      <c r="AC59" s="218"/>
      <c r="AD59" s="218"/>
      <c r="AE59" s="218"/>
      <c r="AF59" s="218"/>
      <c r="AG59" s="222"/>
      <c r="AH59" s="222"/>
      <c r="AJ59" s="203">
        <f t="shared" si="0"/>
        <v>2</v>
      </c>
    </row>
    <row r="60" spans="1:36" ht="16.5" customHeight="1" x14ac:dyDescent="0.2">
      <c r="A60" s="204" t="s">
        <v>354</v>
      </c>
      <c r="B60" s="205">
        <f>'Oct2025 '!B60+1.25- (COUNTIF(E60:AH60, "VL") * 1) - (COUNTIF(E60:AH60, "HDL") * 0.5)</f>
        <v>12</v>
      </c>
      <c r="C60" s="206">
        <f>'Oct2025 '!C60-COUNTIF(E60:AH60, "SL")-(COUNTIF(E60:AH60, "HDSL") * 0.5)</f>
        <v>0.58066666666666178</v>
      </c>
      <c r="D60" s="207">
        <f>'Jun2025 '!D50-COUNTIF(E60:AH60, "SPL")</f>
        <v>0</v>
      </c>
      <c r="E60" s="218"/>
      <c r="F60" s="218"/>
      <c r="G60" s="218"/>
      <c r="H60" s="218"/>
      <c r="I60" s="218"/>
      <c r="J60" s="218"/>
      <c r="K60" s="218"/>
      <c r="L60" s="218"/>
      <c r="M60" s="218"/>
      <c r="N60" s="218" t="s">
        <v>172</v>
      </c>
      <c r="O60" s="218"/>
      <c r="P60" s="218"/>
      <c r="Q60" s="218"/>
      <c r="R60" s="218"/>
      <c r="S60" s="218" t="s">
        <v>172</v>
      </c>
      <c r="T60" s="218"/>
      <c r="U60" s="218"/>
      <c r="V60" s="218" t="s">
        <v>172</v>
      </c>
      <c r="W60" s="218" t="s">
        <v>173</v>
      </c>
      <c r="X60" s="218"/>
      <c r="Y60" s="218"/>
      <c r="Z60" s="218"/>
      <c r="AA60" s="218"/>
      <c r="AB60" s="218"/>
      <c r="AC60" s="218"/>
      <c r="AD60" s="218"/>
      <c r="AE60" s="218"/>
      <c r="AF60" s="218"/>
      <c r="AG60" s="222"/>
      <c r="AH60" s="222"/>
      <c r="AJ60" s="203">
        <f t="shared" si="0"/>
        <v>1</v>
      </c>
    </row>
    <row r="61" spans="1:36" ht="16.5" customHeight="1" x14ac:dyDescent="0.2">
      <c r="A61" s="215" t="s">
        <v>363</v>
      </c>
      <c r="B61" s="205">
        <f>'Oct2025 '!B61+1.25- (COUNTIF(E61:AH61, "VL") * 1) - (COUNTIF(E61:AH61, "HDL") * 0.5)</f>
        <v>11.5</v>
      </c>
      <c r="C61" s="206">
        <f>MIN('Oct2025 '!C61 + 0.416, 5)-COUNTIF(E61:AH61, "SL")-(COUNTIF(E61:AH61, "HDSL") * 0.5)</f>
        <v>3.1639999999999997</v>
      </c>
      <c r="D61" s="207">
        <f>'Jun2025 '!D51-COUNTIF(E61:AH61, "SPL")</f>
        <v>0</v>
      </c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 t="s">
        <v>173</v>
      </c>
      <c r="P61" s="240"/>
      <c r="Q61" s="240"/>
      <c r="R61" s="240"/>
      <c r="S61" s="240"/>
      <c r="T61" s="240"/>
      <c r="U61" s="240"/>
      <c r="V61" s="240"/>
      <c r="W61" s="240"/>
      <c r="X61" s="240"/>
      <c r="Y61" s="240"/>
      <c r="Z61" s="240"/>
      <c r="AA61" s="240"/>
      <c r="AB61" s="240"/>
      <c r="AC61" s="240"/>
      <c r="AD61" s="240"/>
      <c r="AE61" s="240"/>
      <c r="AF61" s="240"/>
      <c r="AG61" s="226"/>
      <c r="AH61" s="222"/>
      <c r="AJ61" s="203">
        <f t="shared" si="0"/>
        <v>1</v>
      </c>
    </row>
    <row r="62" spans="1:36" ht="16.5" customHeight="1" x14ac:dyDescent="0.2">
      <c r="A62" s="204" t="s">
        <v>155</v>
      </c>
      <c r="B62" s="205">
        <f>'Oct2025 '!B62+1.25- (COUNTIF(E62:AH62, "VL") * 1) - (COUNTIF(E62:AH62, "HDL") * 0.5)</f>
        <v>4</v>
      </c>
      <c r="C62" s="206">
        <f>Sept2025!C60-COUNTIF(E62:AH62, "SL")-(COUNTIF(E62:AH62, "HDSL") * 0.5)</f>
        <v>0</v>
      </c>
      <c r="D62" s="207">
        <f>'Jun2025 '!D51-COUNTIF(E62:AH62, "SPL")</f>
        <v>0</v>
      </c>
      <c r="E62" s="240"/>
      <c r="F62" s="240"/>
      <c r="G62" s="240"/>
      <c r="H62" s="240"/>
      <c r="I62" s="240"/>
      <c r="J62" s="240"/>
      <c r="K62" s="240"/>
      <c r="L62" s="240"/>
      <c r="M62" s="240"/>
      <c r="N62" s="240"/>
      <c r="O62" s="240"/>
      <c r="P62" s="240"/>
      <c r="Q62" s="240"/>
      <c r="R62" s="240"/>
      <c r="S62" s="240" t="s">
        <v>172</v>
      </c>
      <c r="T62" s="240"/>
      <c r="U62" s="240"/>
      <c r="V62" s="240"/>
      <c r="W62" s="240"/>
      <c r="X62" s="240"/>
      <c r="Y62" s="240"/>
      <c r="Z62" s="240"/>
      <c r="AA62" s="240"/>
      <c r="AB62" s="240"/>
      <c r="AC62" s="240"/>
      <c r="AD62" s="240"/>
      <c r="AE62" s="240"/>
      <c r="AF62" s="240"/>
      <c r="AG62" s="244"/>
      <c r="AH62" s="233"/>
      <c r="AJ62" s="203">
        <f t="shared" si="0"/>
        <v>0</v>
      </c>
    </row>
    <row r="63" spans="1:36" ht="16.5" customHeight="1" x14ac:dyDescent="0.2">
      <c r="A63" s="204" t="s">
        <v>224</v>
      </c>
      <c r="B63" s="205">
        <f>'Oct2025 '!B63+1.25- (COUNTIF(E63:AH63, "VL") * 1) - (COUNTIF(E63:AH63, "HDL") * 0.5)</f>
        <v>14.75</v>
      </c>
      <c r="C63" s="206">
        <f ca="1">Sept2025!C61-COUNTIF(E63:AH63, "SL")-(COUNTIF(E63:AH63, "HDSL") * 0.5)</f>
        <v>0</v>
      </c>
      <c r="D63" s="207">
        <f>'Jun2025 '!D52-COUNTIF(E63:AH63, "SPL")</f>
        <v>0</v>
      </c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  <c r="Z63" s="211"/>
      <c r="AA63" s="211"/>
      <c r="AB63" s="211"/>
      <c r="AC63" s="211"/>
      <c r="AD63" s="211"/>
      <c r="AE63" s="211"/>
      <c r="AF63" s="211"/>
      <c r="AG63" s="222"/>
      <c r="AH63" s="222"/>
      <c r="AJ63" s="203">
        <f t="shared" si="0"/>
        <v>0</v>
      </c>
    </row>
    <row r="64" spans="1:36" ht="16.5" customHeight="1" x14ac:dyDescent="0.2">
      <c r="A64" s="204" t="s">
        <v>166</v>
      </c>
      <c r="B64" s="205">
        <f>'Oct2025 '!B64+1.25- (COUNTIF(E64:AH64, "VL") * 1) - (COUNTIF(E64:AH64, "HDL") * 0.5)</f>
        <v>2.5</v>
      </c>
      <c r="C64" s="206">
        <f>Sept2025!C62-COUNTIF(E64:AH64, "SL")-(COUNTIF(E64:AH64, "HDSL") * 0.5)</f>
        <v>2</v>
      </c>
      <c r="D64" s="207">
        <f>'Jun2025 '!D53-COUNTIF(E64:AH64, "SPL")</f>
        <v>0</v>
      </c>
      <c r="E64" s="211"/>
      <c r="F64" s="211"/>
      <c r="G64" s="219" t="s">
        <v>182</v>
      </c>
      <c r="H64" s="211"/>
      <c r="I64" s="211"/>
      <c r="J64" s="211"/>
      <c r="K64" s="211"/>
      <c r="L64" s="211"/>
      <c r="M64" s="211"/>
      <c r="N64" s="211"/>
      <c r="O64" s="211"/>
      <c r="P64" s="219"/>
      <c r="Q64" s="211"/>
      <c r="R64" s="211"/>
      <c r="S64" s="211"/>
      <c r="T64" s="211"/>
      <c r="U64" s="211"/>
      <c r="V64" s="211"/>
      <c r="W64" s="211"/>
      <c r="X64" s="211"/>
      <c r="Y64" s="211"/>
      <c r="Z64" s="211"/>
      <c r="AA64" s="211"/>
      <c r="AB64" s="211"/>
      <c r="AC64" s="211"/>
      <c r="AD64" s="211"/>
      <c r="AE64" s="211"/>
      <c r="AF64" s="211"/>
      <c r="AG64" s="222"/>
      <c r="AH64" s="222"/>
      <c r="AJ64" s="203">
        <f t="shared" si="0"/>
        <v>0</v>
      </c>
    </row>
  </sheetData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5E77-34B4-45E5-9751-CA6BE0E46255}">
  <sheetPr>
    <tabColor rgb="FFFF0000"/>
  </sheetPr>
  <dimension ref="A1:AK76"/>
  <sheetViews>
    <sheetView zoomScale="130" zoomScaleNormal="130" workbookViewId="0">
      <pane xSplit="4" ySplit="1" topLeftCell="E31" activePane="bottomRight" state="frozen"/>
      <selection pane="topRight" activeCell="E1" sqref="E1"/>
      <selection pane="bottomLeft" activeCell="A2" sqref="A2"/>
      <selection pane="bottomRight" activeCell="A53" sqref="A53"/>
    </sheetView>
  </sheetViews>
  <sheetFormatPr defaultRowHeight="11.25" x14ac:dyDescent="0.2"/>
  <cols>
    <col min="1" max="1" width="42.83203125" style="203" customWidth="1"/>
    <col min="2" max="4" width="9.33203125" style="203" customWidth="1"/>
    <col min="5" max="33" width="9.33203125" style="203"/>
    <col min="34" max="34" width="9.5" style="203" customWidth="1"/>
    <col min="35" max="16384" width="9.33203125" style="203"/>
  </cols>
  <sheetData>
    <row r="1" spans="1:37" x14ac:dyDescent="0.2">
      <c r="A1" s="199" t="s">
        <v>124</v>
      </c>
      <c r="B1" s="200" t="s">
        <v>172</v>
      </c>
      <c r="C1" s="201" t="s">
        <v>173</v>
      </c>
      <c r="D1" s="202" t="s">
        <v>174</v>
      </c>
      <c r="E1" s="197">
        <v>45992</v>
      </c>
      <c r="F1" s="197">
        <v>45993</v>
      </c>
      <c r="G1" s="197">
        <v>45994</v>
      </c>
      <c r="H1" s="197">
        <v>45995</v>
      </c>
      <c r="I1" s="197">
        <v>45996</v>
      </c>
      <c r="J1" s="197">
        <v>45997</v>
      </c>
      <c r="K1" s="197">
        <v>45998</v>
      </c>
      <c r="L1" s="197">
        <v>45999</v>
      </c>
      <c r="M1" s="197">
        <v>46000</v>
      </c>
      <c r="N1" s="197">
        <v>46001</v>
      </c>
      <c r="O1" s="197">
        <v>46002</v>
      </c>
      <c r="P1" s="197">
        <v>46003</v>
      </c>
      <c r="Q1" s="197">
        <v>46004</v>
      </c>
      <c r="R1" s="197">
        <v>46005</v>
      </c>
      <c r="S1" s="197">
        <v>46006</v>
      </c>
      <c r="T1" s="197">
        <v>46007</v>
      </c>
      <c r="U1" s="197">
        <v>46008</v>
      </c>
      <c r="V1" s="197">
        <v>46009</v>
      </c>
      <c r="W1" s="197">
        <v>46010</v>
      </c>
      <c r="X1" s="197">
        <v>46011</v>
      </c>
      <c r="Y1" s="197">
        <v>46012</v>
      </c>
      <c r="Z1" s="197">
        <v>46013</v>
      </c>
      <c r="AA1" s="197">
        <v>46014</v>
      </c>
      <c r="AB1" s="197">
        <v>46015</v>
      </c>
      <c r="AC1" s="197">
        <v>46016</v>
      </c>
      <c r="AD1" s="197">
        <v>46017</v>
      </c>
      <c r="AE1" s="197">
        <v>46018</v>
      </c>
      <c r="AF1" s="197">
        <v>46019</v>
      </c>
      <c r="AG1" s="245">
        <v>46020</v>
      </c>
      <c r="AH1" s="229">
        <v>46021</v>
      </c>
      <c r="AI1" s="229">
        <v>46022</v>
      </c>
    </row>
    <row r="2" spans="1:37" ht="17.25" customHeight="1" x14ac:dyDescent="0.2">
      <c r="A2" s="204" t="s">
        <v>158</v>
      </c>
      <c r="B2" s="205">
        <f>'Nov2025'!B2+1.25- (COUNTIF(E2:AI2, "VL") * 1) - (COUNTIF(E2:AI2, "HDL") * 0.5)</f>
        <v>9</v>
      </c>
      <c r="C2" s="206">
        <f ca="1">'Nov2025'!C2-COUNTIF(E2:AI2, "SL")-(COUNTIF(E2:AI2, "HDSL") * 0.5)</f>
        <v>0</v>
      </c>
      <c r="D2" s="207">
        <f>'Oct2025 '!D2-COUNTIF(E2:AI2, "SPL")</f>
        <v>0</v>
      </c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33"/>
      <c r="AH2" s="233"/>
      <c r="AI2" s="219" t="s">
        <v>172</v>
      </c>
      <c r="AJ2" s="203">
        <f>COUNTIF(E2:AI2,"SL")</f>
        <v>0</v>
      </c>
      <c r="AK2" s="251"/>
    </row>
    <row r="3" spans="1:37" ht="17.25" customHeight="1" x14ac:dyDescent="0.2">
      <c r="A3" s="204" t="s">
        <v>160</v>
      </c>
      <c r="B3" s="205">
        <f>'Nov2025'!B3+1.25- (COUNTIF(E3:AI3, "VL") * 1) - (COUNTIF(E3:AI3, "HDL") * 0.5)</f>
        <v>5.25</v>
      </c>
      <c r="C3" s="206">
        <f>'Nov2025'!C3-COUNTIF(E3:AI3, "SL")-(COUNTIF(E3:AI3, "HDSL") * 0.5)</f>
        <v>0</v>
      </c>
      <c r="D3" s="207">
        <f>'Oct2025 '!D3-COUNTIF(E3:AI3, "SPL")</f>
        <v>0</v>
      </c>
      <c r="E3" s="218"/>
      <c r="F3" s="218"/>
      <c r="G3" s="218"/>
      <c r="H3" s="218"/>
      <c r="I3" s="218"/>
      <c r="J3" s="218"/>
      <c r="K3" s="218"/>
      <c r="L3" s="218"/>
      <c r="M3" s="218" t="s">
        <v>172</v>
      </c>
      <c r="N3" s="218"/>
      <c r="O3" s="218"/>
      <c r="P3" s="218"/>
      <c r="Q3" s="218"/>
      <c r="R3" s="218"/>
      <c r="S3" s="218"/>
      <c r="T3" s="218" t="s">
        <v>172</v>
      </c>
      <c r="U3" s="218" t="s">
        <v>172</v>
      </c>
      <c r="V3" s="218" t="s">
        <v>172</v>
      </c>
      <c r="W3" s="218" t="s">
        <v>172</v>
      </c>
      <c r="X3" s="218"/>
      <c r="Y3" s="218"/>
      <c r="Z3" s="240"/>
      <c r="AA3" s="240" t="s">
        <v>172</v>
      </c>
      <c r="AB3" s="240" t="s">
        <v>172</v>
      </c>
      <c r="AC3" s="240"/>
      <c r="AD3" s="240"/>
      <c r="AE3" s="218"/>
      <c r="AF3" s="218"/>
      <c r="AG3" s="233"/>
      <c r="AH3" s="233" t="s">
        <v>172</v>
      </c>
      <c r="AI3" s="219" t="s">
        <v>172</v>
      </c>
      <c r="AJ3" s="203">
        <f t="shared" ref="AJ3:AJ70" si="0">COUNTIF(E3:AI3,"SL")</f>
        <v>0</v>
      </c>
    </row>
    <row r="4" spans="1:37" ht="17.25" customHeight="1" x14ac:dyDescent="0.2">
      <c r="A4" s="204" t="s">
        <v>149</v>
      </c>
      <c r="B4" s="205">
        <f>'Nov2025'!B4+1.25- (COUNTIF(E4:AI4, "VL") * 1) - (COUNTIF(E4:AI4, "HDL") * 0.5)</f>
        <v>5.5</v>
      </c>
      <c r="C4" s="206">
        <f>'Nov2025'!C4-COUNTIF(E4:AI4, "SL")-(COUNTIF(E4:AI4, "HDSL") * 0.5)</f>
        <v>0</v>
      </c>
      <c r="D4" s="207">
        <f>'Oct2025 '!D4-COUNTIF(E4:AI4, "SPL")</f>
        <v>0</v>
      </c>
      <c r="E4" s="218"/>
      <c r="F4" s="218"/>
      <c r="G4" s="218"/>
      <c r="H4" s="218"/>
      <c r="I4" s="218"/>
      <c r="J4" s="218"/>
      <c r="K4" s="218"/>
      <c r="L4" s="218" t="s">
        <v>172</v>
      </c>
      <c r="M4" s="218"/>
      <c r="N4" s="218"/>
      <c r="O4" s="218"/>
      <c r="P4" s="218"/>
      <c r="Q4" s="218"/>
      <c r="R4" s="218"/>
      <c r="S4" s="218"/>
      <c r="T4" s="218"/>
      <c r="U4" s="218"/>
      <c r="V4" s="218" t="s">
        <v>172</v>
      </c>
      <c r="W4" s="218" t="s">
        <v>172</v>
      </c>
      <c r="X4" s="218"/>
      <c r="Y4" s="218"/>
      <c r="Z4" s="218" t="s">
        <v>172</v>
      </c>
      <c r="AA4" s="218" t="s">
        <v>172</v>
      </c>
      <c r="AB4" s="218"/>
      <c r="AC4" s="218"/>
      <c r="AD4" s="218"/>
      <c r="AE4" s="241"/>
      <c r="AF4" s="218"/>
      <c r="AG4" s="233" t="s">
        <v>172</v>
      </c>
      <c r="AH4" s="233" t="s">
        <v>172</v>
      </c>
      <c r="AI4" s="219"/>
      <c r="AJ4" s="203">
        <f t="shared" si="0"/>
        <v>0</v>
      </c>
    </row>
    <row r="5" spans="1:37" ht="17.25" customHeight="1" x14ac:dyDescent="0.2">
      <c r="A5" s="271" t="s">
        <v>369</v>
      </c>
      <c r="B5" s="205">
        <f>1.25*6- (COUNTIF(E5:AI5, "VL") * 1) - (COUNTIF(E5:AI5, "HDL") * 0.5)</f>
        <v>5.5</v>
      </c>
      <c r="C5" s="206">
        <f>0.416*6-COUNTIF(E5:AI5, "SL")-(COUNTIF(E5:AI5, "HDSL") * 0.5)</f>
        <v>2.496</v>
      </c>
      <c r="D5" s="207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 t="s">
        <v>172</v>
      </c>
      <c r="AB5" s="218"/>
      <c r="AC5" s="218"/>
      <c r="AD5" s="218" t="s">
        <v>172</v>
      </c>
      <c r="AE5" s="241"/>
      <c r="AF5" s="218"/>
      <c r="AG5" s="233"/>
      <c r="AH5" s="233"/>
      <c r="AI5" s="219"/>
    </row>
    <row r="6" spans="1:37" ht="17.25" customHeight="1" x14ac:dyDescent="0.2">
      <c r="A6" s="204" t="s">
        <v>142</v>
      </c>
      <c r="B6" s="205">
        <f>'Nov2025'!B5+1.25- (COUNTIF(E6:AI6, "VL") * 1) - (COUNTIF(E6:AI6, "HDL") * 0.5)</f>
        <v>5.5</v>
      </c>
      <c r="C6" s="206">
        <f>'Nov2025'!C5-COUNTIF(E6:AI6, "SL")-(COUNTIF(E6:AI6, "HDSL") * 0.5)</f>
        <v>0</v>
      </c>
      <c r="D6" s="207">
        <f>'Oct2025 '!D5-COUNTIF(E6:AI6, "SPL")</f>
        <v>0</v>
      </c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 t="s">
        <v>172</v>
      </c>
      <c r="T6" s="218"/>
      <c r="U6" s="218"/>
      <c r="V6" s="218"/>
      <c r="W6" s="218"/>
      <c r="X6" s="218"/>
      <c r="Y6" s="218"/>
      <c r="Z6" s="218"/>
      <c r="AA6" s="218"/>
      <c r="AB6" s="218"/>
      <c r="AC6" s="218"/>
      <c r="AD6" s="211"/>
      <c r="AE6" s="241"/>
      <c r="AF6" s="218"/>
      <c r="AG6" s="233"/>
      <c r="AH6" s="233" t="s">
        <v>175</v>
      </c>
      <c r="AI6" s="219"/>
      <c r="AJ6" s="203">
        <f t="shared" si="0"/>
        <v>0</v>
      </c>
    </row>
    <row r="7" spans="1:37" ht="17.25" customHeight="1" x14ac:dyDescent="0.2">
      <c r="A7" s="215" t="s">
        <v>356</v>
      </c>
      <c r="B7" s="205">
        <f>'Nov2025'!B6+1.25- (COUNTIF(E7:AI7, "VL") * 1) - (COUNTIF(E7:AI7, "HDL") * 0.5)</f>
        <v>0.5</v>
      </c>
      <c r="C7" s="206">
        <f>'Nov2025'!C6-COUNTIF(E7:AI7, "SL")-(COUNTIF(E7:AI7, "HDSL") * 0.5)</f>
        <v>0.74799999999999978</v>
      </c>
      <c r="D7" s="207"/>
      <c r="E7" s="218" t="s">
        <v>173</v>
      </c>
      <c r="F7" s="218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 t="s">
        <v>172</v>
      </c>
      <c r="V7" s="218"/>
      <c r="W7" s="218"/>
      <c r="X7" s="218"/>
      <c r="Y7" s="218"/>
      <c r="Z7" s="218"/>
      <c r="AA7" s="218"/>
      <c r="AB7" s="218"/>
      <c r="AC7" s="218"/>
      <c r="AD7" s="211"/>
      <c r="AE7" s="241"/>
      <c r="AF7" s="218"/>
      <c r="AG7" s="233"/>
      <c r="AH7" s="233"/>
      <c r="AI7" s="219" t="s">
        <v>172</v>
      </c>
      <c r="AJ7" s="203">
        <f t="shared" si="0"/>
        <v>1</v>
      </c>
    </row>
    <row r="8" spans="1:37" ht="17.25" customHeight="1" x14ac:dyDescent="0.2">
      <c r="A8" s="215" t="s">
        <v>366</v>
      </c>
      <c r="B8" s="205">
        <f>'Nov2025'!B7+1.25- (COUNTIF(E8:AI8, "VL") * 1) - (COUNTIF(E8:AI8, "HDL") * 0.5)</f>
        <v>5</v>
      </c>
      <c r="C8" s="206">
        <f>'Nov2025'!C7-COUNTIF(E8:AI8, "SL")-(COUNTIF(E8:AI8, "HDSL") * 0.5)</f>
        <v>5</v>
      </c>
      <c r="D8" s="207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49" t="s">
        <v>172</v>
      </c>
      <c r="AA8" s="249" t="s">
        <v>172</v>
      </c>
      <c r="AB8" s="249"/>
      <c r="AC8" s="249"/>
      <c r="AD8" s="250"/>
      <c r="AE8" s="241"/>
      <c r="AF8" s="218"/>
      <c r="AG8" s="233" t="s">
        <v>172</v>
      </c>
      <c r="AH8" s="233" t="s">
        <v>172</v>
      </c>
      <c r="AI8" s="233" t="s">
        <v>172</v>
      </c>
      <c r="AJ8" s="203">
        <f t="shared" si="0"/>
        <v>0</v>
      </c>
    </row>
    <row r="9" spans="1:37" ht="17.25" customHeight="1" x14ac:dyDescent="0.2">
      <c r="A9" s="204" t="s">
        <v>176</v>
      </c>
      <c r="B9" s="205">
        <f>'Nov2025'!B8+1.25- (COUNTIF(E9:AI9, "VL") * 1) - (COUNTIF(E9:AI9, "HDL") * 0.5)</f>
        <v>4.5</v>
      </c>
      <c r="C9" s="206">
        <f>'Nov2025'!C8-COUNTIF(E9:AI9, "SL")-(COUNTIF(E9:AI9, "HDSL") * 0.5)</f>
        <v>0</v>
      </c>
      <c r="D9" s="207">
        <f>'Jun2025 '!D6-COUNTIF(E9:AI9, "SPL")</f>
        <v>0</v>
      </c>
      <c r="E9" s="229"/>
      <c r="F9" s="229"/>
      <c r="G9" s="229"/>
      <c r="H9" s="229"/>
      <c r="I9" s="229" t="s">
        <v>182</v>
      </c>
      <c r="J9" s="229"/>
      <c r="K9" s="229"/>
      <c r="L9" s="229"/>
      <c r="M9" s="229"/>
      <c r="N9" s="229"/>
      <c r="O9" s="229"/>
      <c r="P9" s="229"/>
      <c r="Q9" s="229"/>
      <c r="R9" s="229"/>
      <c r="S9" s="229"/>
      <c r="T9" s="229"/>
      <c r="U9" s="229" t="s">
        <v>172</v>
      </c>
      <c r="V9" s="229" t="s">
        <v>172</v>
      </c>
      <c r="W9" s="229" t="s">
        <v>172</v>
      </c>
      <c r="X9" s="229"/>
      <c r="Y9" s="229"/>
      <c r="Z9" s="234" t="s">
        <v>172</v>
      </c>
      <c r="AA9" s="234" t="s">
        <v>172</v>
      </c>
      <c r="AB9" s="234" t="s">
        <v>172</v>
      </c>
      <c r="AC9" s="234"/>
      <c r="AD9" s="234"/>
      <c r="AE9" s="229"/>
      <c r="AF9" s="229"/>
      <c r="AG9" s="242" t="s">
        <v>172</v>
      </c>
      <c r="AH9" s="242" t="s">
        <v>172</v>
      </c>
      <c r="AI9" s="218" t="s">
        <v>172</v>
      </c>
      <c r="AJ9" s="203">
        <f t="shared" si="0"/>
        <v>0</v>
      </c>
    </row>
    <row r="10" spans="1:37" ht="17.25" customHeight="1" x14ac:dyDescent="0.2">
      <c r="A10" s="209" t="s">
        <v>177</v>
      </c>
      <c r="B10" s="205">
        <f>'Nov2025'!B9+1.25- (COUNTIF(E10:AI10, "VL") * 1) - (COUNTIF(E10:AI10, "HDL") * 0.5)</f>
        <v>6.75</v>
      </c>
      <c r="C10" s="206">
        <f>'Nov2025'!C9-COUNTIF(E10:AI10, "SL")-(COUNTIF(E10:AI10, "HDSL") * 0.5)</f>
        <v>-8.4000000000000019E-2</v>
      </c>
      <c r="D10" s="207">
        <f>'Jun2025 '!D7-COUNTIF(E10:AI10, "SPL")</f>
        <v>0</v>
      </c>
      <c r="E10" s="229"/>
      <c r="F10" s="229" t="s">
        <v>175</v>
      </c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42"/>
      <c r="AH10" s="242"/>
      <c r="AI10" s="219"/>
      <c r="AJ10" s="203">
        <f t="shared" si="0"/>
        <v>0</v>
      </c>
    </row>
    <row r="11" spans="1:37" s="224" customFormat="1" ht="17.25" customHeight="1" x14ac:dyDescent="0.2">
      <c r="A11" s="253" t="s">
        <v>178</v>
      </c>
      <c r="B11" s="205">
        <f>'Nov2025'!B10+1.25- (COUNTIF(E11:AI11, "VL") * 1) - (COUNTIF(E11:AI11, "HDL") * 0.5)</f>
        <v>0.5</v>
      </c>
      <c r="C11" s="206">
        <f>'Nov2025'!C10-COUNTIF(E11:AI11, "SL")-(COUNTIF(E11:AI11, "HDSL") * 0.5)</f>
        <v>0.41599999999999998</v>
      </c>
      <c r="D11" s="207">
        <f>'Jun2025 '!D8-COUNTIF(E11:AI11, "SPL")</f>
        <v>0</v>
      </c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  <c r="AA11" s="218" t="s">
        <v>172</v>
      </c>
      <c r="AB11" s="218" t="s">
        <v>172</v>
      </c>
      <c r="AC11" s="218"/>
      <c r="AD11" s="218"/>
      <c r="AE11" s="218"/>
      <c r="AF11" s="218"/>
      <c r="AG11" s="233" t="s">
        <v>172</v>
      </c>
      <c r="AH11" s="233" t="s">
        <v>172</v>
      </c>
      <c r="AI11" s="218" t="s">
        <v>172</v>
      </c>
      <c r="AJ11" s="224">
        <f t="shared" si="0"/>
        <v>0</v>
      </c>
    </row>
    <row r="12" spans="1:37" ht="17.25" customHeight="1" x14ac:dyDescent="0.2">
      <c r="A12" s="271" t="s">
        <v>364</v>
      </c>
      <c r="B12" s="205">
        <f>1.25*6- (COUNTIF(E12:AI12, "VL") * 1) - (COUNTIF(E12:AI12, "HDL") * 0.5)</f>
        <v>4.5</v>
      </c>
      <c r="C12" s="206">
        <f>0.416*6-COUNTIF(E12:AI12, "SL")-(COUNTIF(E12:AI12, "HDSL") * 0.5)</f>
        <v>2.496</v>
      </c>
      <c r="D12" s="207">
        <f>'Nov2025'!D11-COUNTIF(E12:AI12, "SPL")</f>
        <v>0</v>
      </c>
      <c r="E12" s="218"/>
      <c r="F12" s="218"/>
      <c r="G12" s="218"/>
      <c r="H12" s="218" t="s">
        <v>174</v>
      </c>
      <c r="I12" s="218"/>
      <c r="J12" s="218"/>
      <c r="K12" s="218"/>
      <c r="L12" s="218"/>
      <c r="M12" s="218"/>
      <c r="N12" s="218"/>
      <c r="O12" s="218"/>
      <c r="P12" s="218"/>
      <c r="Q12" s="218" t="s">
        <v>174</v>
      </c>
      <c r="R12" s="218" t="s">
        <v>174</v>
      </c>
      <c r="S12" s="218"/>
      <c r="T12" s="218"/>
      <c r="U12" s="218" t="s">
        <v>174</v>
      </c>
      <c r="V12" s="218"/>
      <c r="W12" s="218"/>
      <c r="X12" s="218"/>
      <c r="Y12" s="218"/>
      <c r="Z12" s="218" t="s">
        <v>172</v>
      </c>
      <c r="AA12" s="218" t="s">
        <v>172</v>
      </c>
      <c r="AB12" s="218"/>
      <c r="AC12" s="218"/>
      <c r="AD12" s="218" t="s">
        <v>172</v>
      </c>
      <c r="AE12" s="218"/>
      <c r="AF12" s="218"/>
      <c r="AG12" s="233" t="s">
        <v>174</v>
      </c>
      <c r="AH12" s="233"/>
      <c r="AI12" s="219"/>
      <c r="AJ12" s="203">
        <f t="shared" si="0"/>
        <v>0</v>
      </c>
    </row>
    <row r="13" spans="1:37" ht="17.25" customHeight="1" x14ac:dyDescent="0.2">
      <c r="A13" s="209" t="s">
        <v>332</v>
      </c>
      <c r="B13" s="205">
        <f>'Nov2025'!B12+1.25- (COUNTIF(E13:AI13, "VL") * 1) - (COUNTIF(E13:AI13, "HDL") * 0.5)</f>
        <v>0.5</v>
      </c>
      <c r="C13" s="206">
        <f>'Nov2025'!C12-COUNTIF(E13:AI13, "SL")-(COUNTIF(E13:AI13, "HDSL") * 0.5)</f>
        <v>0.91666666666666208</v>
      </c>
      <c r="D13" s="207">
        <f>'Jun2025 '!D9-COUNTIF(E13:AI13, "SPL")</f>
        <v>0</v>
      </c>
      <c r="E13" s="218"/>
      <c r="F13" s="218"/>
      <c r="G13" s="218"/>
      <c r="H13" s="218"/>
      <c r="I13" s="218"/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 t="s">
        <v>172</v>
      </c>
      <c r="AA13" s="218" t="s">
        <v>172</v>
      </c>
      <c r="AB13" s="218" t="s">
        <v>172</v>
      </c>
      <c r="AC13" s="218"/>
      <c r="AD13" s="218"/>
      <c r="AE13" s="218"/>
      <c r="AF13" s="218"/>
      <c r="AG13" s="233" t="s">
        <v>172</v>
      </c>
      <c r="AH13" s="233" t="s">
        <v>172</v>
      </c>
      <c r="AI13" s="233" t="s">
        <v>172</v>
      </c>
      <c r="AJ13" s="203">
        <f t="shared" si="0"/>
        <v>0</v>
      </c>
    </row>
    <row r="14" spans="1:37" ht="17.25" customHeight="1" x14ac:dyDescent="0.2">
      <c r="A14" s="209" t="s">
        <v>162</v>
      </c>
      <c r="B14" s="205">
        <f>'Nov2025'!B13+1.25- (COUNTIF(E14:AI14, "VL") * 1) - (COUNTIF(E14:AI14, "HDL") * 0.5)</f>
        <v>13.25</v>
      </c>
      <c r="C14" s="206">
        <f>'Nov2025'!C13-COUNTIF(E14:AI14, "SL")-(COUNTIF(E14:AI14, "HDSL") * 0.5)</f>
        <v>5</v>
      </c>
      <c r="D14" s="207">
        <f>'Jun2025 '!D10-COUNTIF(E14:AI14, "SPL")</f>
        <v>0</v>
      </c>
      <c r="E14" s="218"/>
      <c r="F14" s="218"/>
      <c r="G14" s="218"/>
      <c r="H14" s="218"/>
      <c r="I14" s="218"/>
      <c r="J14" s="218"/>
      <c r="K14" s="218"/>
      <c r="L14" s="218"/>
      <c r="M14" s="218"/>
      <c r="N14" s="218"/>
      <c r="O14" s="218"/>
      <c r="P14" s="218"/>
      <c r="Q14" s="218"/>
      <c r="R14" s="218"/>
      <c r="S14" s="218" t="s">
        <v>172</v>
      </c>
      <c r="T14" s="218"/>
      <c r="U14" s="218"/>
      <c r="V14" s="218"/>
      <c r="W14" s="218"/>
      <c r="X14" s="218"/>
      <c r="Y14" s="218"/>
      <c r="Z14" s="218"/>
      <c r="AA14" s="218"/>
      <c r="AB14" s="218" t="s">
        <v>172</v>
      </c>
      <c r="AC14" s="218"/>
      <c r="AD14" s="218"/>
      <c r="AE14" s="218"/>
      <c r="AF14" s="218"/>
      <c r="AG14" s="233"/>
      <c r="AH14" s="233"/>
      <c r="AI14" s="218" t="s">
        <v>172</v>
      </c>
      <c r="AJ14" s="203">
        <f t="shared" si="0"/>
        <v>0</v>
      </c>
    </row>
    <row r="15" spans="1:37" ht="17.25" customHeight="1" x14ac:dyDescent="0.2">
      <c r="A15" s="209" t="s">
        <v>347</v>
      </c>
      <c r="B15" s="205">
        <f>'Nov2025'!B14- (COUNTIF(E15:AI15, "VL") * 1) - (COUNTIF(E15:AI15, "HDL") * 0.5)</f>
        <v>10</v>
      </c>
      <c r="C15" s="206">
        <f>'Nov2025'!C14-COUNTIF(E15:AI15, "SL")-(COUNTIF(E15:AI15, "HDSL") * 0.5)</f>
        <v>2.9986666666666602</v>
      </c>
      <c r="D15" s="207">
        <f>'Jun2025 '!D11-COUNTIF(E15:AI15, "SPL")</f>
        <v>0</v>
      </c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 t="s">
        <v>173</v>
      </c>
      <c r="X15" s="218"/>
      <c r="Y15" s="218"/>
      <c r="Z15" s="218"/>
      <c r="AA15" s="218"/>
      <c r="AB15" s="218" t="s">
        <v>172</v>
      </c>
      <c r="AC15" s="218"/>
      <c r="AD15" s="218" t="s">
        <v>172</v>
      </c>
      <c r="AE15" s="218"/>
      <c r="AF15" s="218"/>
      <c r="AG15" s="233" t="s">
        <v>172</v>
      </c>
      <c r="AH15" s="233"/>
      <c r="AI15" s="219" t="s">
        <v>172</v>
      </c>
      <c r="AJ15" s="203">
        <f t="shared" si="0"/>
        <v>1</v>
      </c>
    </row>
    <row r="16" spans="1:37" ht="17.25" customHeight="1" x14ac:dyDescent="0.2">
      <c r="A16" s="209" t="s">
        <v>367</v>
      </c>
      <c r="B16" s="205">
        <f>'Nov2025'!B15+1.25- (COUNTIF(E16:AI16, "VL") * 1) - (COUNTIF(E16:AI16, "HDL") * 0.5)</f>
        <v>4</v>
      </c>
      <c r="C16" s="206">
        <f>'Nov2025'!C15-COUNTIF(E16:AI16, "SL")-(COUNTIF(E16:AI16, "HDSL") * 0.5)</f>
        <v>0.91599999999999993</v>
      </c>
      <c r="D16" s="207"/>
      <c r="E16" s="218"/>
      <c r="F16" s="218"/>
      <c r="G16" s="218"/>
      <c r="H16" s="218"/>
      <c r="I16" s="218" t="s">
        <v>172</v>
      </c>
      <c r="J16" s="218"/>
      <c r="K16" s="218"/>
      <c r="L16" s="218"/>
      <c r="M16" s="218" t="s">
        <v>173</v>
      </c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 t="s">
        <v>172</v>
      </c>
      <c r="AA16" s="218" t="s">
        <v>172</v>
      </c>
      <c r="AB16" s="218" t="s">
        <v>172</v>
      </c>
      <c r="AC16" s="218"/>
      <c r="AD16" s="218"/>
      <c r="AE16" s="218"/>
      <c r="AF16" s="218"/>
      <c r="AG16" s="233" t="s">
        <v>172</v>
      </c>
      <c r="AH16" s="233"/>
      <c r="AI16" s="219" t="s">
        <v>172</v>
      </c>
    </row>
    <row r="17" spans="1:36" ht="17.25" customHeight="1" x14ac:dyDescent="0.2">
      <c r="A17" s="209" t="s">
        <v>179</v>
      </c>
      <c r="B17" s="205">
        <f>'Nov2025'!B16+1.25- (COUNTIF(E17:AI17, "VL") * 1) - (COUNTIF(E17:AI17, "HDL") * 0.5)</f>
        <v>5.5</v>
      </c>
      <c r="C17" s="206">
        <f>'Nov2025'!C16-COUNTIF(E17:AI17, "SL")-(COUNTIF(E17:AI17, "HDSL") * 0.5)</f>
        <v>1</v>
      </c>
      <c r="D17" s="207"/>
      <c r="E17" s="229" t="s">
        <v>172</v>
      </c>
      <c r="F17" s="229"/>
      <c r="G17" s="229"/>
      <c r="H17" s="229"/>
      <c r="I17" s="229"/>
      <c r="J17" s="229"/>
      <c r="K17" s="229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229" t="s">
        <v>172</v>
      </c>
      <c r="X17" s="229"/>
      <c r="Y17" s="229"/>
      <c r="Z17" s="229" t="s">
        <v>172</v>
      </c>
      <c r="AA17" s="229" t="s">
        <v>172</v>
      </c>
      <c r="AB17" s="229"/>
      <c r="AC17" s="229"/>
      <c r="AD17" s="229"/>
      <c r="AE17" s="229"/>
      <c r="AF17" s="229"/>
      <c r="AG17" s="242" t="s">
        <v>172</v>
      </c>
      <c r="AH17" s="242" t="s">
        <v>172</v>
      </c>
      <c r="AI17" s="219"/>
      <c r="AJ17" s="203">
        <f t="shared" si="0"/>
        <v>0</v>
      </c>
    </row>
    <row r="18" spans="1:36" ht="17.25" customHeight="1" x14ac:dyDescent="0.2">
      <c r="A18" s="271" t="s">
        <v>348</v>
      </c>
      <c r="B18" s="205">
        <f>'Nov2025'!B17+1.25- (COUNTIF(E18:AI18, "VL") * 1) - (COUNTIF(E18:AI18, "HDL") * 0.5)</f>
        <v>3.25</v>
      </c>
      <c r="C18" s="206">
        <f>'Nov2025'!C17-COUNTIF(E18:AI18, "SL")-(COUNTIF(E18:AI18, "HDSL") * 0.5)</f>
        <v>1.9959999999999956</v>
      </c>
      <c r="D18" s="207">
        <f>'Jun2025 '!D13-COUNTIF(E18:AI18, "SPL")</f>
        <v>0</v>
      </c>
      <c r="E18" s="229"/>
      <c r="F18" s="229"/>
      <c r="G18" s="229"/>
      <c r="H18" s="229"/>
      <c r="I18" s="229"/>
      <c r="J18" s="229"/>
      <c r="K18" s="229"/>
      <c r="L18" s="229"/>
      <c r="M18" s="229"/>
      <c r="N18" s="229"/>
      <c r="O18" s="229"/>
      <c r="P18" s="229"/>
      <c r="Q18" s="229"/>
      <c r="R18" s="229"/>
      <c r="S18" s="229" t="s">
        <v>173</v>
      </c>
      <c r="T18" s="229"/>
      <c r="U18" s="229"/>
      <c r="V18" s="229"/>
      <c r="W18" s="229"/>
      <c r="X18" s="229"/>
      <c r="Y18" s="229"/>
      <c r="Z18" s="229"/>
      <c r="AA18" s="229"/>
      <c r="AB18" s="229"/>
      <c r="AC18" s="229"/>
      <c r="AD18" s="229"/>
      <c r="AE18" s="229"/>
      <c r="AF18" s="229"/>
      <c r="AG18" s="242"/>
      <c r="AH18" s="242"/>
      <c r="AI18" s="219"/>
      <c r="AJ18" s="203">
        <f t="shared" si="0"/>
        <v>1</v>
      </c>
    </row>
    <row r="19" spans="1:36" ht="17.25" customHeight="1" x14ac:dyDescent="0.2">
      <c r="A19" s="271" t="s">
        <v>370</v>
      </c>
      <c r="B19" s="205">
        <f>1.25*6- (COUNTIF(E19:AI19, "VL") * 1) - (COUNTIF(E19:AI19, "HDL") * 0.5)</f>
        <v>5.5</v>
      </c>
      <c r="C19" s="206">
        <f>0.416*6-COUNTIF(E19:AI19, "SL")-(COUNTIF(E19:AI19, "HDSL") * 0.5)</f>
        <v>2.496</v>
      </c>
      <c r="D19" s="207"/>
      <c r="E19" s="229"/>
      <c r="F19" s="229"/>
      <c r="G19" s="229"/>
      <c r="H19" s="229"/>
      <c r="I19" s="229"/>
      <c r="J19" s="229"/>
      <c r="K19" s="229"/>
      <c r="L19" s="229"/>
      <c r="M19" s="229"/>
      <c r="N19" s="229"/>
      <c r="O19" s="229"/>
      <c r="P19" s="229"/>
      <c r="Q19" s="229"/>
      <c r="R19" s="229"/>
      <c r="S19" s="229"/>
      <c r="T19" s="229"/>
      <c r="U19" s="229"/>
      <c r="V19" s="229"/>
      <c r="W19" s="229"/>
      <c r="X19" s="229"/>
      <c r="Y19" s="229"/>
      <c r="Z19" s="229"/>
      <c r="AA19" s="229"/>
      <c r="AB19" s="229"/>
      <c r="AC19" s="229"/>
      <c r="AD19" s="229" t="s">
        <v>172</v>
      </c>
      <c r="AE19" s="229"/>
      <c r="AF19" s="229"/>
      <c r="AG19" s="242" t="s">
        <v>172</v>
      </c>
      <c r="AH19" s="242"/>
      <c r="AI19" s="219"/>
    </row>
    <row r="20" spans="1:36" ht="17.25" customHeight="1" x14ac:dyDescent="0.2">
      <c r="A20" s="209" t="s">
        <v>151</v>
      </c>
      <c r="B20" s="205">
        <f>'Nov2025'!B18+1.25- (COUNTIF(E20:AI20, "VL") * 1) - (COUNTIF(E20:AI20, "HDL") * 0.5)</f>
        <v>6.25</v>
      </c>
      <c r="C20" s="206">
        <f>'Nov2025'!C18-COUNTIF(E20:AI20, "SL")-(COUNTIF(E20:AI20, "HDSL") * 0.5)</f>
        <v>0</v>
      </c>
      <c r="D20" s="207">
        <f>'Jun2025 '!D14-COUNTIF(E20:AI20, "SPL")</f>
        <v>0</v>
      </c>
      <c r="E20" s="218"/>
      <c r="F20" s="218"/>
      <c r="G20" s="243"/>
      <c r="H20" s="218"/>
      <c r="I20" s="218"/>
      <c r="J20" s="218"/>
      <c r="K20" s="218"/>
      <c r="L20" s="218" t="s">
        <v>172</v>
      </c>
      <c r="M20" s="218"/>
      <c r="N20" s="218"/>
      <c r="O20" s="218"/>
      <c r="P20" s="218"/>
      <c r="Q20" s="218" t="s">
        <v>172</v>
      </c>
      <c r="R20" s="218"/>
      <c r="S20" s="218" t="s">
        <v>172</v>
      </c>
      <c r="T20" s="218"/>
      <c r="U20" s="218"/>
      <c r="V20" s="218"/>
      <c r="W20" s="218"/>
      <c r="X20" s="218"/>
      <c r="Y20" s="218"/>
      <c r="Z20" s="218" t="s">
        <v>172</v>
      </c>
      <c r="AA20" s="218"/>
      <c r="AB20" s="218"/>
      <c r="AC20" s="218"/>
      <c r="AD20" s="218"/>
      <c r="AE20" s="218"/>
      <c r="AF20" s="218"/>
      <c r="AG20" s="233"/>
      <c r="AH20" s="233"/>
      <c r="AI20" s="219"/>
      <c r="AJ20" s="203">
        <f t="shared" si="0"/>
        <v>0</v>
      </c>
    </row>
    <row r="21" spans="1:36" ht="17.25" customHeight="1" x14ac:dyDescent="0.2">
      <c r="A21" s="237" t="s">
        <v>180</v>
      </c>
      <c r="B21" s="205">
        <f>'Nov2025'!B19- (COUNTIF(E21:AI21, "VL") * 1) - (COUNTIF(E21:AI21, "HDL") * 0.5)</f>
        <v>12.75</v>
      </c>
      <c r="C21" s="206">
        <f>'Nov2025'!C19-COUNTIF(E21:AI21, "SL")-(COUNTIF(E21:AI21, "HDSL") * 0.5)</f>
        <v>3.9906666666666606</v>
      </c>
      <c r="D21" s="207">
        <f>'Jun2025 '!D15-COUNTIF(E21:AI21, "SPL")</f>
        <v>0</v>
      </c>
      <c r="E21" s="218"/>
      <c r="F21" s="218"/>
      <c r="G21" s="218"/>
      <c r="H21" s="218"/>
      <c r="I21" s="218"/>
      <c r="J21" s="218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33"/>
      <c r="AH21" s="233"/>
      <c r="AI21" s="219"/>
      <c r="AJ21" s="203">
        <f t="shared" si="0"/>
        <v>0</v>
      </c>
    </row>
    <row r="22" spans="1:36" ht="17.25" customHeight="1" x14ac:dyDescent="0.2">
      <c r="A22" s="209" t="s">
        <v>181</v>
      </c>
      <c r="B22" s="205">
        <f>'Nov2025'!B20+1.25- (COUNTIF(E22:AI22, "VL") * 1) - (COUNTIF(E22:AI22, "HDL") * 0.5)</f>
        <v>1.5</v>
      </c>
      <c r="C22" s="206">
        <f>'Nov2025'!C20-COUNTIF(E22:AI22, "SL")-(COUNTIF(E22:AI22, "HDSL") * 0.5)</f>
        <v>0</v>
      </c>
      <c r="D22" s="207">
        <f>'Jun2025 '!D16-COUNTIF(E22:AI22, "SPL")</f>
        <v>0</v>
      </c>
      <c r="E22" s="218"/>
      <c r="F22" s="218"/>
      <c r="G22" s="218"/>
      <c r="H22" s="218"/>
      <c r="I22" s="218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 t="s">
        <v>172</v>
      </c>
      <c r="AA22" s="218" t="s">
        <v>172</v>
      </c>
      <c r="AB22" s="218" t="s">
        <v>172</v>
      </c>
      <c r="AC22" s="218"/>
      <c r="AD22" s="218"/>
      <c r="AE22" s="218"/>
      <c r="AF22" s="218"/>
      <c r="AG22" s="233" t="s">
        <v>172</v>
      </c>
      <c r="AH22" s="233" t="s">
        <v>172</v>
      </c>
      <c r="AI22" s="218" t="s">
        <v>172</v>
      </c>
      <c r="AJ22" s="203">
        <f t="shared" si="0"/>
        <v>0</v>
      </c>
    </row>
    <row r="23" spans="1:36" ht="17.25" customHeight="1" x14ac:dyDescent="0.2">
      <c r="A23" s="271" t="s">
        <v>221</v>
      </c>
      <c r="B23" s="205">
        <f>'Nov2025'!B21+1.25- (COUNTIF(E23:AI23, "VL") * 1) - (COUNTIF(E23:AI23, "HDL") * 0.5)</f>
        <v>5.5</v>
      </c>
      <c r="C23" s="206">
        <f>'Nov2025'!C21-COUNTIF(E23:AI23, "SL")-(COUNTIF(E23:AI23, "HDSL") * 0.5)</f>
        <v>-4.6666666666697054E-3</v>
      </c>
      <c r="D23" s="207">
        <f>'Jun2025 '!D17-COUNTIF(E23:AI23, "SPL")</f>
        <v>0</v>
      </c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 t="s">
        <v>172</v>
      </c>
      <c r="AA23" s="218" t="s">
        <v>172</v>
      </c>
      <c r="AB23" s="218" t="s">
        <v>172</v>
      </c>
      <c r="AC23" s="218"/>
      <c r="AD23" s="218"/>
      <c r="AE23" s="218"/>
      <c r="AF23" s="218"/>
      <c r="AG23" s="222"/>
      <c r="AH23" s="222"/>
      <c r="AI23" s="219" t="s">
        <v>172</v>
      </c>
      <c r="AJ23" s="203">
        <f t="shared" si="0"/>
        <v>0</v>
      </c>
    </row>
    <row r="24" spans="1:36" ht="17.25" customHeight="1" x14ac:dyDescent="0.2">
      <c r="A24" s="209" t="s">
        <v>152</v>
      </c>
      <c r="B24" s="205">
        <f>'Nov2025'!B22+1.25- (COUNTIF(E24:AI24, "VL") * 1) - (COUNTIF(E24:AI24, "HDL") * 0.5)</f>
        <v>5.125</v>
      </c>
      <c r="C24" s="206">
        <f>'Nov2025'!C22-COUNTIF(E24:AI24, "SL")-(COUNTIF(E24:AI24, "HDSL") * 0.5)</f>
        <v>0</v>
      </c>
      <c r="D24" s="207">
        <f>'Jun2025 '!D18-COUNTIF(E24:AI24, "SPL")</f>
        <v>0</v>
      </c>
      <c r="E24" s="218"/>
      <c r="F24" s="218" t="s">
        <v>172</v>
      </c>
      <c r="G24" s="218" t="s">
        <v>172</v>
      </c>
      <c r="H24" s="218" t="s">
        <v>172</v>
      </c>
      <c r="I24" s="218" t="s">
        <v>172</v>
      </c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 t="s">
        <v>172</v>
      </c>
      <c r="AA24" s="218"/>
      <c r="AB24" s="239" t="s">
        <v>173</v>
      </c>
      <c r="AC24" s="218"/>
      <c r="AD24" s="218"/>
      <c r="AE24" s="218"/>
      <c r="AF24" s="218"/>
      <c r="AG24" s="233"/>
      <c r="AH24" s="233"/>
      <c r="AI24" s="219"/>
      <c r="AJ24" s="203">
        <f t="shared" si="0"/>
        <v>1</v>
      </c>
    </row>
    <row r="25" spans="1:36" ht="17.25" customHeight="1" x14ac:dyDescent="0.2">
      <c r="A25" s="209" t="s">
        <v>170</v>
      </c>
      <c r="B25" s="205">
        <f>'Nov2025'!B23+1.25- (COUNTIF(E25:AI25, "VL") * 1) - (COUNTIF(E25:AI25, "HDL") * 0.5)</f>
        <v>3</v>
      </c>
      <c r="C25" s="206">
        <f>'Nov2025'!C23-COUNTIF(E25:AI25, "SL")-(COUNTIF(E25:AI25, "HDSL") * 0.5)</f>
        <v>0</v>
      </c>
      <c r="D25" s="207">
        <f>'Jun2025 '!D19-COUNTIF(E25:AI25, "SPL")</f>
        <v>0</v>
      </c>
      <c r="E25" s="218"/>
      <c r="F25" s="218"/>
      <c r="G25" s="218"/>
      <c r="H25" s="218"/>
      <c r="I25" s="218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8" t="s">
        <v>172</v>
      </c>
      <c r="U25" s="218"/>
      <c r="V25" s="218"/>
      <c r="W25" s="218"/>
      <c r="X25" s="218"/>
      <c r="Y25" s="218"/>
      <c r="Z25" s="218"/>
      <c r="AA25" s="218" t="s">
        <v>172</v>
      </c>
      <c r="AB25" s="218" t="s">
        <v>172</v>
      </c>
      <c r="AC25" s="218"/>
      <c r="AD25" s="218"/>
      <c r="AE25" s="218"/>
      <c r="AF25" s="218"/>
      <c r="AG25" s="233"/>
      <c r="AH25" s="233" t="s">
        <v>172</v>
      </c>
      <c r="AI25" s="218" t="s">
        <v>172</v>
      </c>
      <c r="AJ25" s="203">
        <f t="shared" si="0"/>
        <v>0</v>
      </c>
    </row>
    <row r="26" spans="1:36" ht="17.25" customHeight="1" x14ac:dyDescent="0.2">
      <c r="A26" s="273" t="s">
        <v>371</v>
      </c>
      <c r="B26" s="205">
        <f>1.25*6-1- (COUNTIF(E26:AI26, "VL") * 1) - (COUNTIF(E26:AI26, "HDL") * 0.5)</f>
        <v>4.5</v>
      </c>
      <c r="C26" s="206">
        <f>0.416*6-COUNTIF(E26:AI26, "SL")-(COUNTIF(E26:AI26, "HDSL") * 0.5)</f>
        <v>2.496</v>
      </c>
      <c r="D26" s="207"/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  <c r="AE26" s="218" t="s">
        <v>172</v>
      </c>
      <c r="AF26" s="218" t="s">
        <v>172</v>
      </c>
      <c r="AG26" s="233"/>
      <c r="AH26" s="233"/>
      <c r="AI26" s="219"/>
    </row>
    <row r="27" spans="1:36" ht="17.25" customHeight="1" x14ac:dyDescent="0.2">
      <c r="A27" s="212" t="s">
        <v>334</v>
      </c>
      <c r="B27" s="205">
        <f>'Nov2025'!B24+1.25- (COUNTIF(E27:AI27, "VL") * 1) - (COUNTIF(E27:AI27, "HDL") * 0.5)</f>
        <v>9.5</v>
      </c>
      <c r="C27" s="206">
        <f>'Nov2025'!C24-COUNTIF(E27:AI27, "SL")-(COUNTIF(E27:AI27, "HDSL") * 0.5)</f>
        <v>1.1666666666666603</v>
      </c>
      <c r="D27" s="207">
        <f>'Jun2025 '!D20-COUNTIF(E27:AI27, "SPL")</f>
        <v>0</v>
      </c>
      <c r="E27" s="218"/>
      <c r="F27" s="218" t="s">
        <v>172</v>
      </c>
      <c r="G27" s="218"/>
      <c r="H27" s="218"/>
      <c r="I27" s="218"/>
      <c r="J27" s="218"/>
      <c r="K27" s="218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 t="s">
        <v>172</v>
      </c>
      <c r="Z27" s="218"/>
      <c r="AA27" s="218"/>
      <c r="AB27" s="218" t="s">
        <v>172</v>
      </c>
      <c r="AC27" s="218"/>
      <c r="AD27" s="218"/>
      <c r="AE27" s="218"/>
      <c r="AF27" s="218" t="s">
        <v>172</v>
      </c>
      <c r="AG27" s="233"/>
      <c r="AH27" s="233" t="s">
        <v>172</v>
      </c>
      <c r="AI27" s="233" t="s">
        <v>172</v>
      </c>
      <c r="AJ27" s="203">
        <f t="shared" si="0"/>
        <v>0</v>
      </c>
    </row>
    <row r="28" spans="1:36" ht="17.25" customHeight="1" x14ac:dyDescent="0.2">
      <c r="A28" s="213" t="s">
        <v>372</v>
      </c>
      <c r="B28" s="205">
        <f>1.25*5- (COUNTIF(E28:AI28, "VL") * 1) - (COUNTIF(E28:AI28, "HDL") * 0.5)</f>
        <v>4.25</v>
      </c>
      <c r="C28" s="206">
        <f>5-COUNTIF(E28:AI28, "SL")-(COUNTIF(E28:AI28, "HDSL") * 0.5)</f>
        <v>5</v>
      </c>
      <c r="D28" s="207"/>
      <c r="E28" s="218"/>
      <c r="F28" s="218"/>
      <c r="G28" s="218"/>
      <c r="H28" s="218"/>
      <c r="I28" s="218"/>
      <c r="J28" s="218"/>
      <c r="K28" s="218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  <c r="AA28" s="218"/>
      <c r="AB28" s="218"/>
      <c r="AC28" s="218"/>
      <c r="AD28" s="218"/>
      <c r="AE28" s="218"/>
      <c r="AF28" s="218"/>
      <c r="AG28" s="233" t="s">
        <v>172</v>
      </c>
      <c r="AH28" s="233" t="s">
        <v>172</v>
      </c>
      <c r="AI28" s="219"/>
    </row>
    <row r="29" spans="1:36" ht="17.25" customHeight="1" x14ac:dyDescent="0.2">
      <c r="A29" s="209" t="s">
        <v>145</v>
      </c>
      <c r="B29" s="205">
        <f>'Nov2025'!B25+1.25- (COUNTIF(E29:AI29, "VL") * 1) - (COUNTIF(E29:AI29, "HDL") * 0.5)</f>
        <v>0.75</v>
      </c>
      <c r="C29" s="206">
        <f>'Nov2025'!C25-COUNTIF(E29:AI29, "SL")-(COUNTIF(E29:AI29, "HDSL") * 0.5)</f>
        <v>0</v>
      </c>
      <c r="D29" s="207">
        <f>'Jun2025 '!D21-COUNTIF(E29:AI29, "SPL")</f>
        <v>0</v>
      </c>
      <c r="E29" s="218"/>
      <c r="F29" s="218"/>
      <c r="G29" s="218"/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  <c r="AA29" s="218"/>
      <c r="AB29" s="218" t="s">
        <v>172</v>
      </c>
      <c r="AC29" s="218"/>
      <c r="AD29" s="218"/>
      <c r="AE29" s="218"/>
      <c r="AF29" s="218"/>
      <c r="AG29" s="233" t="s">
        <v>172</v>
      </c>
      <c r="AH29" s="233" t="s">
        <v>172</v>
      </c>
      <c r="AI29" s="219"/>
      <c r="AJ29" s="203">
        <f t="shared" si="0"/>
        <v>0</v>
      </c>
    </row>
    <row r="30" spans="1:36" ht="17.25" customHeight="1" x14ac:dyDescent="0.2">
      <c r="A30" s="215" t="s">
        <v>357</v>
      </c>
      <c r="B30" s="205">
        <f>'Nov2025'!B26+1.25- (COUNTIF(E30:AI30, "VL") * 1) - (COUNTIF(E30:AI30, "HDL") * 0.5)</f>
        <v>8.5</v>
      </c>
      <c r="C30" s="206">
        <f>'Nov2025'!C26-COUNTIF(E30:AI30, "SL")-(COUNTIF(E30:AI30, "HDSL") * 0.5)</f>
        <v>0.24799999999999978</v>
      </c>
      <c r="D30" s="207"/>
      <c r="E30" s="218"/>
      <c r="F30" s="218"/>
      <c r="G30" s="218"/>
      <c r="H30" s="218"/>
      <c r="I30" s="218"/>
      <c r="J30" s="218"/>
      <c r="K30" s="218"/>
      <c r="L30" s="218"/>
      <c r="M30" s="218"/>
      <c r="N30" s="218"/>
      <c r="O30" s="218"/>
      <c r="P30" s="218" t="s">
        <v>175</v>
      </c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 t="s">
        <v>172</v>
      </c>
      <c r="AC30" s="218"/>
      <c r="AD30" s="218"/>
      <c r="AE30" s="218"/>
      <c r="AF30" s="218"/>
      <c r="AG30" s="233" t="s">
        <v>173</v>
      </c>
      <c r="AH30" s="233"/>
      <c r="AI30" s="219" t="s">
        <v>172</v>
      </c>
      <c r="AJ30" s="203">
        <f t="shared" si="0"/>
        <v>1</v>
      </c>
    </row>
    <row r="31" spans="1:36" ht="17.25" customHeight="1" x14ac:dyDescent="0.2">
      <c r="A31" s="271" t="s">
        <v>349</v>
      </c>
      <c r="B31" s="205">
        <f>'Nov2025'!B27+1.25- (COUNTIF(E27:AI27, "VL") * 1) - (COUNTIF(E27:AI27, "HDL") * 0.5)</f>
        <v>6.25</v>
      </c>
      <c r="C31" s="206">
        <f>'Nov2025'!C27-COUNTIF(E31:AI31, "SL")-(COUNTIF(E31:AI31, "HDSL") * 0.5)</f>
        <v>-4.0000000000044444E-3</v>
      </c>
      <c r="D31" s="207">
        <f>'Jun2025 '!D22-COUNTIF(E31:AI31, "SPL")</f>
        <v>0</v>
      </c>
      <c r="E31" s="218"/>
      <c r="F31" s="218"/>
      <c r="G31" s="218"/>
      <c r="H31" s="218"/>
      <c r="I31" s="218" t="s">
        <v>172</v>
      </c>
      <c r="J31" s="218"/>
      <c r="K31" s="218"/>
      <c r="L31" s="218"/>
      <c r="M31" s="218"/>
      <c r="N31" s="218"/>
      <c r="O31" s="218" t="s">
        <v>173</v>
      </c>
      <c r="P31" s="218" t="s">
        <v>172</v>
      </c>
      <c r="Q31" s="218"/>
      <c r="R31" s="218"/>
      <c r="S31" s="218" t="s">
        <v>172</v>
      </c>
      <c r="T31" s="218" t="s">
        <v>172</v>
      </c>
      <c r="U31" s="218"/>
      <c r="V31" s="218" t="s">
        <v>173</v>
      </c>
      <c r="W31" s="218" t="s">
        <v>172</v>
      </c>
      <c r="X31" s="218"/>
      <c r="Y31" s="218"/>
      <c r="Z31" s="218" t="s">
        <v>172</v>
      </c>
      <c r="AA31" s="218" t="s">
        <v>173</v>
      </c>
      <c r="AB31" s="218"/>
      <c r="AC31" s="218"/>
      <c r="AD31" s="218"/>
      <c r="AE31" s="218"/>
      <c r="AF31" s="218"/>
      <c r="AG31" s="233" t="s">
        <v>172</v>
      </c>
      <c r="AH31" s="233" t="s">
        <v>172</v>
      </c>
      <c r="AI31" s="219"/>
      <c r="AJ31" s="203">
        <f t="shared" si="0"/>
        <v>3</v>
      </c>
    </row>
    <row r="32" spans="1:36" ht="17.25" customHeight="1" x14ac:dyDescent="0.2">
      <c r="A32" s="209" t="s">
        <v>150</v>
      </c>
      <c r="B32" s="205">
        <f>'Nov2025'!B28+1.25- (COUNTIF(E32:AI32, "VL") * 1) - (COUNTIF(E32:AI32, "HDL") * 0.5)</f>
        <v>5.25</v>
      </c>
      <c r="C32" s="206">
        <f>'Nov2025'!C28-COUNTIF(E32:AI32, "SL")-(COUNTIF(E32:AI32, "HDSL") * 0.5)</f>
        <v>0</v>
      </c>
      <c r="D32" s="207">
        <f>'Jun2025 '!D23-COUNTIF(E32:AI32, "SPL")</f>
        <v>0</v>
      </c>
      <c r="E32" s="218"/>
      <c r="F32" s="218"/>
      <c r="G32" s="218"/>
      <c r="H32" s="218"/>
      <c r="I32" s="218"/>
      <c r="J32" s="218"/>
      <c r="K32" s="218"/>
      <c r="L32" s="218"/>
      <c r="M32" s="218"/>
      <c r="N32" s="218"/>
      <c r="O32" s="218"/>
      <c r="P32" s="229"/>
      <c r="Q32" s="218"/>
      <c r="R32" s="218"/>
      <c r="S32" s="218"/>
      <c r="T32" s="218"/>
      <c r="U32" s="218"/>
      <c r="V32" s="218"/>
      <c r="W32" s="218"/>
      <c r="X32" s="218" t="s">
        <v>172</v>
      </c>
      <c r="Y32" s="218"/>
      <c r="Z32" s="218"/>
      <c r="AA32" s="218"/>
      <c r="AB32" s="218"/>
      <c r="AC32" s="218"/>
      <c r="AD32" s="218"/>
      <c r="AE32" s="218" t="s">
        <v>172</v>
      </c>
      <c r="AF32" s="218"/>
      <c r="AG32" s="233"/>
      <c r="AH32" s="233"/>
      <c r="AI32" s="219"/>
      <c r="AJ32" s="203">
        <f t="shared" si="0"/>
        <v>0</v>
      </c>
    </row>
    <row r="33" spans="1:36" ht="17.25" customHeight="1" x14ac:dyDescent="0.2">
      <c r="A33" s="237" t="s">
        <v>147</v>
      </c>
      <c r="B33" s="205">
        <f>'Nov2025'!B29- (COUNTIF(E33:AI33, "VL") * 1) - (COUNTIF(E33:AI33, "HDL") * 0.5)</f>
        <v>7</v>
      </c>
      <c r="C33" s="206">
        <f>'Nov2025'!C29-COUNTIF(E33:AI33, "SL")-(COUNTIF(E33:AI33, "HDSL") * 0.5)</f>
        <v>5</v>
      </c>
      <c r="D33" s="207"/>
      <c r="E33" s="218"/>
      <c r="F33" s="218"/>
      <c r="G33" s="218"/>
      <c r="H33" s="218"/>
      <c r="I33" s="218"/>
      <c r="J33" s="218"/>
      <c r="K33" s="218"/>
      <c r="L33" s="218"/>
      <c r="M33" s="218"/>
      <c r="N33" s="218"/>
      <c r="O33" s="218"/>
      <c r="P33" s="229"/>
      <c r="Q33" s="218"/>
      <c r="R33" s="218"/>
      <c r="S33" s="218"/>
      <c r="T33" s="218"/>
      <c r="U33" s="218"/>
      <c r="V33" s="218"/>
      <c r="W33" s="218"/>
      <c r="X33" s="218"/>
      <c r="Y33" s="218"/>
      <c r="Z33" s="218"/>
      <c r="AA33" s="218"/>
      <c r="AB33" s="218"/>
      <c r="AC33" s="218"/>
      <c r="AD33" s="218"/>
      <c r="AE33" s="218"/>
      <c r="AF33" s="218"/>
      <c r="AG33" s="233"/>
      <c r="AH33" s="233"/>
      <c r="AI33" s="219"/>
      <c r="AJ33" s="203">
        <f t="shared" si="0"/>
        <v>0</v>
      </c>
    </row>
    <row r="34" spans="1:36" ht="17.25" customHeight="1" x14ac:dyDescent="0.2">
      <c r="A34" s="209" t="s">
        <v>168</v>
      </c>
      <c r="B34" s="205">
        <f>'Nov2025'!B30+1.25- (COUNTIF(E34:AI34, "VL") * 1) - (COUNTIF(E34:AI34, "HDL") * 0.5)</f>
        <v>2</v>
      </c>
      <c r="C34" s="206">
        <f>'Nov2025'!C30-COUNTIF(E34:AI34, "SL")-(COUNTIF(E34:AI34, "HDSL") * 0.5)</f>
        <v>0</v>
      </c>
      <c r="D34" s="207">
        <f>'Jun2025 '!D25-COUNTIF(E34:AI34, "SPL")</f>
        <v>0</v>
      </c>
      <c r="E34" s="218"/>
      <c r="F34" s="218"/>
      <c r="G34" s="218"/>
      <c r="H34" s="218"/>
      <c r="I34" s="218"/>
      <c r="J34" s="218"/>
      <c r="K34" s="218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  <c r="AA34" s="218"/>
      <c r="AB34" s="218"/>
      <c r="AC34" s="218"/>
      <c r="AD34" s="218"/>
      <c r="AE34" s="218"/>
      <c r="AF34" s="218"/>
      <c r="AG34" s="233"/>
      <c r="AH34" s="233"/>
      <c r="AI34" s="233"/>
      <c r="AJ34" s="203">
        <f t="shared" si="0"/>
        <v>0</v>
      </c>
    </row>
    <row r="35" spans="1:36" ht="17.25" customHeight="1" x14ac:dyDescent="0.2">
      <c r="A35" s="209" t="s">
        <v>156</v>
      </c>
      <c r="B35" s="205">
        <f>'Nov2025'!B31+1.25- (COUNTIF(E35:AI35, "VL") * 1) - (COUNTIF(E35:AI35, "HDL") * 0.5)</f>
        <v>0.75</v>
      </c>
      <c r="C35" s="206">
        <f>'Nov2025'!C31-COUNTIF(E35:AI35, "SL")-(COUNTIF(E35:AI35, "HDSL") * 0.5)</f>
        <v>0</v>
      </c>
      <c r="D35" s="207">
        <f>'Jun2025 '!D26-COUNTIF(E35:AI35, "SPL")</f>
        <v>0</v>
      </c>
      <c r="E35" s="218"/>
      <c r="F35" s="218"/>
      <c r="G35" s="218"/>
      <c r="H35" s="218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  <c r="AD35" s="218"/>
      <c r="AE35" s="218"/>
      <c r="AF35" s="218"/>
      <c r="AG35" s="233" t="s">
        <v>172</v>
      </c>
      <c r="AH35" s="233" t="s">
        <v>172</v>
      </c>
      <c r="AI35" s="219" t="s">
        <v>172</v>
      </c>
      <c r="AJ35" s="203">
        <f t="shared" si="0"/>
        <v>0</v>
      </c>
    </row>
    <row r="36" spans="1:36" ht="17.25" customHeight="1" x14ac:dyDescent="0.2">
      <c r="A36" s="209" t="s">
        <v>183</v>
      </c>
      <c r="B36" s="205">
        <f>'Nov2025'!B32+1.25- (COUNTIF(E36:AI36, "VL") * 1) - (COUNTIF(E36:AI36, "HDL") * 0.5)</f>
        <v>2</v>
      </c>
      <c r="C36" s="206">
        <f>'Nov2025'!C32-COUNTIF(E36:AI36, "SL")-(COUNTIF(E36:AI36, "HDSL") * 0.5)</f>
        <v>0</v>
      </c>
      <c r="D36" s="207">
        <f>'Jun2025 '!D27-COUNTIF(E36:AI36, "SPL")</f>
        <v>0</v>
      </c>
      <c r="E36" s="218"/>
      <c r="F36" s="218"/>
      <c r="G36" s="218"/>
      <c r="H36" s="218"/>
      <c r="I36" s="218"/>
      <c r="J36" s="218"/>
      <c r="K36" s="218"/>
      <c r="L36" s="218"/>
      <c r="M36" s="218"/>
      <c r="N36" s="218"/>
      <c r="O36" s="218"/>
      <c r="P36" s="218" t="s">
        <v>172</v>
      </c>
      <c r="Q36" s="218"/>
      <c r="R36" s="218"/>
      <c r="S36" s="218" t="s">
        <v>174</v>
      </c>
      <c r="T36" s="218"/>
      <c r="U36" s="218"/>
      <c r="V36" s="218" t="s">
        <v>172</v>
      </c>
      <c r="W36" s="218" t="s">
        <v>172</v>
      </c>
      <c r="X36" s="218"/>
      <c r="Y36" s="218"/>
      <c r="Z36" s="218" t="s">
        <v>174</v>
      </c>
      <c r="AA36" s="218" t="s">
        <v>174</v>
      </c>
      <c r="AB36" s="218"/>
      <c r="AC36" s="218"/>
      <c r="AD36" s="218"/>
      <c r="AE36" s="218"/>
      <c r="AF36" s="218"/>
      <c r="AG36" s="233" t="s">
        <v>174</v>
      </c>
      <c r="AH36" s="233" t="s">
        <v>172</v>
      </c>
      <c r="AI36" s="219"/>
      <c r="AJ36" s="203">
        <f t="shared" si="0"/>
        <v>0</v>
      </c>
    </row>
    <row r="37" spans="1:36" ht="17.25" customHeight="1" x14ac:dyDescent="0.2">
      <c r="A37" s="271" t="s">
        <v>373</v>
      </c>
      <c r="B37" s="205">
        <f>1.25*6- (COUNTIF(E37:AI37, "VL") * 1) - (COUNTIF(E37:AI37, "HDL") * 0.5)</f>
        <v>7.5</v>
      </c>
      <c r="C37" s="206">
        <f>0.416*6-COUNTIF(E37:AI37, "SL")-(COUNTIF(E37:AI37, "HDSL") * 0.5)</f>
        <v>2.496</v>
      </c>
      <c r="D37" s="207"/>
      <c r="E37" s="218"/>
      <c r="F37" s="218"/>
      <c r="G37" s="218"/>
      <c r="H37" s="218"/>
      <c r="I37" s="218"/>
      <c r="J37" s="218"/>
      <c r="K37" s="218"/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  <c r="AA37" s="218"/>
      <c r="AB37" s="218"/>
      <c r="AC37" s="218"/>
      <c r="AD37" s="218"/>
      <c r="AE37" s="218"/>
      <c r="AF37" s="218"/>
      <c r="AG37" s="233"/>
      <c r="AH37" s="233"/>
      <c r="AI37" s="219"/>
    </row>
    <row r="38" spans="1:36" ht="17.25" customHeight="1" x14ac:dyDescent="0.2">
      <c r="A38" s="209" t="s">
        <v>350</v>
      </c>
      <c r="B38" s="205">
        <f>'Nov2025'!B33+1.25- (COUNTIF(E38:AI38, "VL") * 1) - (COUNTIF(E38:AI38, "HDL") * 0.5)</f>
        <v>2.25</v>
      </c>
      <c r="C38" s="206">
        <f>'Nov2025'!C33-COUNTIF(E38:AI38, "SL")-(COUNTIF(E38:AI38, "HDSL") * 0.5)</f>
        <v>4.5813333333333288</v>
      </c>
      <c r="D38" s="207">
        <f>'Jun2025 '!D28-COUNTIF(E38:AI38, "SPL")</f>
        <v>0</v>
      </c>
      <c r="E38" s="218"/>
      <c r="F38" s="218"/>
      <c r="G38" s="218"/>
      <c r="H38" s="218"/>
      <c r="I38" s="218"/>
      <c r="J38" s="218"/>
      <c r="K38" s="218"/>
      <c r="L38" s="218"/>
      <c r="M38" s="218" t="s">
        <v>172</v>
      </c>
      <c r="N38" s="218" t="s">
        <v>172</v>
      </c>
      <c r="O38" s="218" t="s">
        <v>172</v>
      </c>
      <c r="P38" s="218" t="s">
        <v>172</v>
      </c>
      <c r="Q38" s="218"/>
      <c r="R38" s="218"/>
      <c r="S38" s="218"/>
      <c r="T38" s="218"/>
      <c r="U38" s="218"/>
      <c r="V38" s="218"/>
      <c r="W38" s="218"/>
      <c r="X38" s="218"/>
      <c r="Y38" s="218"/>
      <c r="Z38" s="218" t="s">
        <v>172</v>
      </c>
      <c r="AA38" s="218" t="s">
        <v>172</v>
      </c>
      <c r="AB38" s="218" t="s">
        <v>172</v>
      </c>
      <c r="AC38" s="218"/>
      <c r="AD38" s="218" t="s">
        <v>172</v>
      </c>
      <c r="AE38" s="218"/>
      <c r="AF38" s="218"/>
      <c r="AG38" s="233" t="s">
        <v>172</v>
      </c>
      <c r="AH38" s="233"/>
      <c r="AI38" s="219" t="s">
        <v>172</v>
      </c>
      <c r="AJ38" s="203">
        <f t="shared" si="0"/>
        <v>0</v>
      </c>
    </row>
    <row r="39" spans="1:36" ht="17.25" customHeight="1" x14ac:dyDescent="0.2">
      <c r="A39" s="209" t="s">
        <v>146</v>
      </c>
      <c r="B39" s="205">
        <f>'Nov2025'!B34+1.25- (COUNTIF(E39:AI39, "VL") * 1) - (COUNTIF(E39:AI39, "HDL") * 0.5)</f>
        <v>0.5</v>
      </c>
      <c r="C39" s="206">
        <f>'Nov2025'!C34-COUNTIF(E39:AI39, "SL")-(COUNTIF(E39:AI39, "HDSL") * 0.5)</f>
        <v>0</v>
      </c>
      <c r="D39" s="207">
        <f>'Jun2025 '!D29-COUNTIF(E39:AI39, "SPL")</f>
        <v>0</v>
      </c>
      <c r="E39" s="218"/>
      <c r="F39" s="218"/>
      <c r="G39" s="218"/>
      <c r="H39" s="218"/>
      <c r="I39" s="218"/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33"/>
      <c r="AH39" s="233"/>
      <c r="AI39" s="219" t="s">
        <v>172</v>
      </c>
      <c r="AJ39" s="203">
        <f t="shared" si="0"/>
        <v>0</v>
      </c>
    </row>
    <row r="40" spans="1:36" ht="17.25" customHeight="1" x14ac:dyDescent="0.2">
      <c r="A40" s="204" t="s">
        <v>184</v>
      </c>
      <c r="B40" s="205">
        <f>'Nov2025'!B35+1.25- (COUNTIF(E40:AI40, "VL") * 1) - (COUNTIF(E40:AI40, "HDL") * 0.5)</f>
        <v>2.5</v>
      </c>
      <c r="C40" s="206">
        <f>'Nov2025'!C35-COUNTIF(E40:AI40, "SL")-(COUNTIF(E40:AI40, "HDSL") * 0.5)</f>
        <v>0</v>
      </c>
      <c r="D40" s="207">
        <f>'Jun2025 '!D30-COUNTIF(E40:AI40, "SPL")</f>
        <v>0</v>
      </c>
      <c r="E40" s="218"/>
      <c r="F40" s="218"/>
      <c r="G40" s="218"/>
      <c r="H40" s="218"/>
      <c r="I40" s="218"/>
      <c r="J40" s="218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 t="s">
        <v>172</v>
      </c>
      <c r="AA40" s="218" t="s">
        <v>172</v>
      </c>
      <c r="AB40" s="218"/>
      <c r="AC40" s="218"/>
      <c r="AD40" s="218"/>
      <c r="AE40" s="218"/>
      <c r="AF40" s="218"/>
      <c r="AG40" s="233"/>
      <c r="AH40" s="233"/>
      <c r="AI40" s="219"/>
      <c r="AJ40" s="203">
        <f t="shared" si="0"/>
        <v>0</v>
      </c>
    </row>
    <row r="41" spans="1:36" ht="17.25" customHeight="1" x14ac:dyDescent="0.2">
      <c r="A41" s="213" t="s">
        <v>351</v>
      </c>
      <c r="B41" s="205">
        <f>'Nov2025'!B36+1.25- (COUNTIF(E41:AI41, "VL") * 1) - (COUNTIF(E41:AI41, "HDL") * 0.5)</f>
        <v>9.25</v>
      </c>
      <c r="C41" s="206">
        <f>'Nov2025'!C36-COUNTIF(E41:AI41, "SL")-(COUNTIF(E41:AI41, "HDSL") * 0.5)</f>
        <v>4.9979999999999949</v>
      </c>
      <c r="D41" s="207">
        <f>'Jun2025 '!D31-COUNTIF(E41:AI41, "SPL")</f>
        <v>0</v>
      </c>
      <c r="E41" s="218"/>
      <c r="F41" s="218"/>
      <c r="G41" s="218"/>
      <c r="H41" s="218"/>
      <c r="I41" s="218"/>
      <c r="J41" s="218"/>
      <c r="K41" s="218"/>
      <c r="L41" s="218"/>
      <c r="M41" s="218"/>
      <c r="N41" s="218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 t="s">
        <v>172</v>
      </c>
      <c r="AA41" s="218" t="s">
        <v>172</v>
      </c>
      <c r="AB41" s="218" t="s">
        <v>172</v>
      </c>
      <c r="AC41" s="218"/>
      <c r="AD41" s="218"/>
      <c r="AE41" s="218"/>
      <c r="AF41" s="218"/>
      <c r="AG41" s="233" t="s">
        <v>172</v>
      </c>
      <c r="AH41" s="233" t="s">
        <v>172</v>
      </c>
      <c r="AI41" s="219" t="s">
        <v>172</v>
      </c>
      <c r="AJ41" s="203">
        <f t="shared" si="0"/>
        <v>0</v>
      </c>
    </row>
    <row r="42" spans="1:36" ht="17.25" customHeight="1" x14ac:dyDescent="0.2">
      <c r="A42" s="272" t="s">
        <v>335</v>
      </c>
      <c r="B42" s="205">
        <f>'Nov2025'!B37+1.25- (COUNTIF(E42:AI42, "VL") * 1) - (COUNTIF(E42:AI42, "HDL") * 0.5)</f>
        <v>4.5</v>
      </c>
      <c r="C42" s="206">
        <f>'Nov2025'!C37-COUNTIF(E42:AI42, "SL")-(COUNTIF(E42:AI42, "HDSL") * 0.5)</f>
        <v>-1.3333333333398478E-3</v>
      </c>
      <c r="D42" s="207">
        <f>'Jun2025 '!D32-COUNTIF(E42:AI42, "SPL")</f>
        <v>0</v>
      </c>
      <c r="E42" s="218"/>
      <c r="F42" s="218"/>
      <c r="G42" s="218"/>
      <c r="H42" s="218"/>
      <c r="I42" s="218"/>
      <c r="J42" s="218"/>
      <c r="K42" s="218"/>
      <c r="L42" s="218"/>
      <c r="M42" s="218"/>
      <c r="N42" s="218"/>
      <c r="O42" s="218" t="s">
        <v>175</v>
      </c>
      <c r="P42" s="218"/>
      <c r="Q42" s="218"/>
      <c r="R42" s="218"/>
      <c r="S42" s="218"/>
      <c r="T42" s="218"/>
      <c r="U42" s="218"/>
      <c r="V42" s="218" t="s">
        <v>173</v>
      </c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33"/>
      <c r="AH42" s="233"/>
      <c r="AI42" s="219"/>
      <c r="AJ42" s="203">
        <f t="shared" si="0"/>
        <v>1</v>
      </c>
    </row>
    <row r="43" spans="1:36" ht="17.25" customHeight="1" x14ac:dyDescent="0.2">
      <c r="A43" s="212" t="s">
        <v>336</v>
      </c>
      <c r="B43" s="205">
        <f>'Nov2025'!B38+1.25- (COUNTIF(E43:AI43, "VL") * 1) - (COUNTIF(E43:AI43, "HDL") * 0.5)</f>
        <v>9.5</v>
      </c>
      <c r="C43" s="206">
        <f>'Nov2025'!C38-COUNTIF(E43:AI43, "SL")-(COUNTIF(E43:AI43, "HDSL") * 0.5)</f>
        <v>1.1666666666666603</v>
      </c>
      <c r="D43" s="207">
        <f>'Jun2025 '!D33-COUNTIF(E43:AI43, "SPL")</f>
        <v>0</v>
      </c>
      <c r="E43" s="218"/>
      <c r="F43" s="218"/>
      <c r="G43" s="218"/>
      <c r="H43" s="218"/>
      <c r="I43" s="218"/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 t="s">
        <v>172</v>
      </c>
      <c r="AA43" s="218" t="s">
        <v>172</v>
      </c>
      <c r="AB43" s="218" t="s">
        <v>172</v>
      </c>
      <c r="AC43" s="218"/>
      <c r="AD43" s="218" t="s">
        <v>172</v>
      </c>
      <c r="AE43" s="218"/>
      <c r="AF43" s="218"/>
      <c r="AG43" s="233" t="s">
        <v>172</v>
      </c>
      <c r="AH43" s="233"/>
      <c r="AI43" s="219" t="s">
        <v>172</v>
      </c>
      <c r="AJ43" s="203">
        <f t="shared" si="0"/>
        <v>0</v>
      </c>
    </row>
    <row r="44" spans="1:36" ht="17.25" customHeight="1" x14ac:dyDescent="0.2">
      <c r="A44" s="204" t="s">
        <v>157</v>
      </c>
      <c r="B44" s="205">
        <f>'Nov2025'!B39+1.25- (COUNTIF(E44:AI44, "VL") * 1) - (COUNTIF(E44:AI44, "HDL") * 0.5)</f>
        <v>2.75</v>
      </c>
      <c r="C44" s="206">
        <f>'Nov2025'!C39-COUNTIF(E44:AI44, "SL")-(COUNTIF(E44:AI44, "HDSL") * 0.5)</f>
        <v>0</v>
      </c>
      <c r="D44" s="207">
        <f>'Jun2025 '!D34-COUNTIF(E44:AI44, "SPL")</f>
        <v>0</v>
      </c>
      <c r="E44" s="218"/>
      <c r="F44" s="218"/>
      <c r="G44" s="218"/>
      <c r="H44" s="218"/>
      <c r="I44" s="218"/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 t="s">
        <v>172</v>
      </c>
      <c r="U44" s="218"/>
      <c r="V44" s="218"/>
      <c r="W44" s="218"/>
      <c r="X44" s="218"/>
      <c r="Y44" s="218"/>
      <c r="Z44" s="218"/>
      <c r="AA44" s="218" t="s">
        <v>172</v>
      </c>
      <c r="AB44" s="218" t="s">
        <v>172</v>
      </c>
      <c r="AC44" s="218"/>
      <c r="AD44" s="218"/>
      <c r="AE44" s="218"/>
      <c r="AF44" s="218"/>
      <c r="AG44" s="233"/>
      <c r="AH44" s="233" t="s">
        <v>172</v>
      </c>
      <c r="AI44" s="219" t="s">
        <v>172</v>
      </c>
      <c r="AJ44" s="203">
        <f t="shared" si="0"/>
        <v>0</v>
      </c>
    </row>
    <row r="45" spans="1:36" ht="17.25" customHeight="1" x14ac:dyDescent="0.2">
      <c r="A45" s="204" t="s">
        <v>161</v>
      </c>
      <c r="B45" s="205">
        <f>'Nov2025'!B40+1.25- (COUNTIF(E45:AI45, "VL") * 1) - (COUNTIF(E45:AI45, "HDL") * 0.5)</f>
        <v>1.5</v>
      </c>
      <c r="C45" s="206">
        <f>'Nov2025'!C40-COUNTIF(E45:AI45, "SL")-(COUNTIF(E45:AI45, "HDSL") * 0.5)</f>
        <v>0</v>
      </c>
      <c r="D45" s="207">
        <f>'Jun2025 '!D35-COUNTIF(E45:AI45, "SPL")</f>
        <v>0</v>
      </c>
      <c r="E45" s="218"/>
      <c r="F45" s="218"/>
      <c r="G45" s="218"/>
      <c r="H45" s="218"/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 t="s">
        <v>172</v>
      </c>
      <c r="AA45" s="218" t="s">
        <v>172</v>
      </c>
      <c r="AB45" s="218"/>
      <c r="AC45" s="218"/>
      <c r="AD45" s="218"/>
      <c r="AE45" s="218"/>
      <c r="AF45" s="218"/>
      <c r="AG45" s="233" t="s">
        <v>172</v>
      </c>
      <c r="AH45" s="233" t="s">
        <v>172</v>
      </c>
      <c r="AI45" s="219"/>
      <c r="AJ45" s="203">
        <f t="shared" si="0"/>
        <v>0</v>
      </c>
    </row>
    <row r="46" spans="1:36" ht="17.25" customHeight="1" x14ac:dyDescent="0.2">
      <c r="A46" s="271" t="s">
        <v>338</v>
      </c>
      <c r="B46" s="205">
        <f>'Nov2025'!B41+1.25- (COUNTIF(E46:AI46, "VL") * 1) - (COUNTIF(E46:AI46, "HDL") * 0.5)</f>
        <v>7.5</v>
      </c>
      <c r="C46" s="206">
        <f>'Nov2025'!C41-COUNTIF(E46:AI46, "SL")-(COUNTIF(E46:AI46, "HDSL") * 0.5)</f>
        <v>0.99866666666665971</v>
      </c>
      <c r="D46" s="207">
        <f>'Jun2025 '!D36-COUNTIF(E46:AI46, "SPL")</f>
        <v>0</v>
      </c>
      <c r="E46" s="208"/>
      <c r="F46" s="208"/>
      <c r="G46" s="208"/>
      <c r="H46" s="218"/>
      <c r="I46" s="218"/>
      <c r="J46" s="218"/>
      <c r="K46" s="218"/>
      <c r="L46" s="218"/>
      <c r="M46" s="218"/>
      <c r="N46" s="218"/>
      <c r="O46" s="218" t="s">
        <v>175</v>
      </c>
      <c r="P46" s="218"/>
      <c r="Q46" s="218"/>
      <c r="R46" s="218"/>
      <c r="S46" s="218"/>
      <c r="T46" s="218" t="s">
        <v>173</v>
      </c>
      <c r="U46" s="218"/>
      <c r="V46" s="218"/>
      <c r="W46" s="218"/>
      <c r="X46" s="218"/>
      <c r="Y46" s="218"/>
      <c r="Z46" s="218" t="s">
        <v>172</v>
      </c>
      <c r="AA46" s="218" t="s">
        <v>172</v>
      </c>
      <c r="AB46" s="218" t="s">
        <v>172</v>
      </c>
      <c r="AC46" s="218"/>
      <c r="AD46" s="218"/>
      <c r="AE46" s="218"/>
      <c r="AF46" s="218"/>
      <c r="AG46" s="233" t="s">
        <v>172</v>
      </c>
      <c r="AH46" s="233" t="s">
        <v>172</v>
      </c>
      <c r="AI46" s="219"/>
      <c r="AJ46" s="203">
        <f t="shared" si="0"/>
        <v>1</v>
      </c>
    </row>
    <row r="47" spans="1:36" ht="17.25" customHeight="1" x14ac:dyDescent="0.2">
      <c r="A47" s="209" t="s">
        <v>358</v>
      </c>
      <c r="B47" s="205">
        <f>'Nov2025'!B42+1.25- (COUNTIF(E47:AI47, "VL") * 1) - (COUNTIF(E47:AI47, "HDL") * 0.5)</f>
        <v>7.5</v>
      </c>
      <c r="C47" s="206">
        <f>'Nov2025'!C42-COUNTIF(E47:AI47, "SL")-(COUNTIF(E47:AI47, "HDSL") * 0.5)</f>
        <v>0.75199999999999978</v>
      </c>
      <c r="D47" s="207"/>
      <c r="E47" s="218"/>
      <c r="F47" s="218"/>
      <c r="G47" s="218"/>
      <c r="H47" s="218"/>
      <c r="I47" s="218"/>
      <c r="J47" s="218"/>
      <c r="K47" s="218"/>
      <c r="L47" s="218"/>
      <c r="M47" s="218"/>
      <c r="N47" s="218" t="s">
        <v>172</v>
      </c>
      <c r="O47" s="218"/>
      <c r="P47" s="218"/>
      <c r="Q47" s="218"/>
      <c r="R47" s="218"/>
      <c r="S47" s="218"/>
      <c r="T47" s="218"/>
      <c r="U47" s="218" t="s">
        <v>173</v>
      </c>
      <c r="V47" s="218"/>
      <c r="W47" s="218"/>
      <c r="X47" s="218"/>
      <c r="Y47" s="218"/>
      <c r="Z47" s="218" t="s">
        <v>172</v>
      </c>
      <c r="AA47" s="218" t="s">
        <v>172</v>
      </c>
      <c r="AB47" s="218"/>
      <c r="AC47" s="218"/>
      <c r="AD47" s="218"/>
      <c r="AE47" s="218"/>
      <c r="AF47" s="218"/>
      <c r="AG47" s="233" t="s">
        <v>172</v>
      </c>
      <c r="AH47" s="233" t="s">
        <v>172</v>
      </c>
      <c r="AI47" s="218"/>
      <c r="AJ47" s="203">
        <f t="shared" si="0"/>
        <v>1</v>
      </c>
    </row>
    <row r="48" spans="1:36" ht="17.25" customHeight="1" x14ac:dyDescent="0.2">
      <c r="A48" s="238" t="s">
        <v>167</v>
      </c>
      <c r="B48" s="205">
        <f>'Nov2025'!B43+1.25- (COUNTIF(E48:AI48, "VL") * 1) - (COUNTIF(E48:AI48, "HDL") * 0.5)</f>
        <v>6.25</v>
      </c>
      <c r="C48" s="206">
        <f>'Nov2025'!C43-COUNTIF(E48:AI48, "SL")-(COUNTIF(E48:AI48, "HDSL") * 0.5)</f>
        <v>0</v>
      </c>
      <c r="D48" s="207">
        <f>'Jun2025 '!D37-COUNTIF(E48:AI48, "SPL")</f>
        <v>0</v>
      </c>
      <c r="E48" s="218"/>
      <c r="F48" s="218"/>
      <c r="G48" s="218"/>
      <c r="H48" s="218"/>
      <c r="I48" s="218"/>
      <c r="J48" s="218"/>
      <c r="K48" s="218"/>
      <c r="L48" s="218"/>
      <c r="M48" s="218"/>
      <c r="N48" s="218"/>
      <c r="O48" s="218" t="s">
        <v>172</v>
      </c>
      <c r="P48" s="218" t="s">
        <v>172</v>
      </c>
      <c r="Q48" s="218"/>
      <c r="R48" s="218"/>
      <c r="S48" s="218" t="s">
        <v>172</v>
      </c>
      <c r="T48" s="218" t="s">
        <v>172</v>
      </c>
      <c r="U48" s="218"/>
      <c r="V48" s="218" t="s">
        <v>172</v>
      </c>
      <c r="W48" s="218" t="s">
        <v>172</v>
      </c>
      <c r="X48" s="218"/>
      <c r="Y48" s="218"/>
      <c r="Z48" s="218" t="s">
        <v>172</v>
      </c>
      <c r="AA48" s="218" t="s">
        <v>172</v>
      </c>
      <c r="AB48" s="218"/>
      <c r="AC48" s="218"/>
      <c r="AD48" s="218"/>
      <c r="AE48" s="218"/>
      <c r="AF48" s="218"/>
      <c r="AG48" s="233" t="s">
        <v>172</v>
      </c>
      <c r="AH48" s="233" t="s">
        <v>172</v>
      </c>
      <c r="AI48" s="219"/>
      <c r="AJ48" s="203">
        <f t="shared" si="0"/>
        <v>0</v>
      </c>
    </row>
    <row r="49" spans="1:36" ht="17.25" customHeight="1" x14ac:dyDescent="0.2">
      <c r="A49" s="271" t="s">
        <v>353</v>
      </c>
      <c r="B49" s="205">
        <f>'Nov2025'!B44+1.25- (COUNTIF(E49:AI49, "VL") * 1) - (COUNTIF(E49:AI49, "HDL") * 0.5)</f>
        <v>6.25</v>
      </c>
      <c r="C49" s="206">
        <f>'Nov2025'!C44-COUNTIF(E49:AI49, "SL")-(COUNTIF(E49:AI49, "HDSL") * 0.5)</f>
        <v>-2.000000000005997E-3</v>
      </c>
      <c r="D49" s="207">
        <f>'Jun2025 '!D38-COUNTIF(E49:AI49, "SPL")</f>
        <v>0</v>
      </c>
      <c r="E49" s="218"/>
      <c r="F49" s="218"/>
      <c r="G49" s="218"/>
      <c r="H49" s="218"/>
      <c r="I49" s="218"/>
      <c r="J49" s="218"/>
      <c r="K49" s="218"/>
      <c r="L49" s="218"/>
      <c r="M49" s="218"/>
      <c r="N49" s="218"/>
      <c r="O49" s="218"/>
      <c r="P49" s="218"/>
      <c r="Q49" s="218" t="s">
        <v>173</v>
      </c>
      <c r="R49" s="218"/>
      <c r="S49" s="218"/>
      <c r="T49" s="218" t="s">
        <v>173</v>
      </c>
      <c r="U49" s="218"/>
      <c r="V49" s="218"/>
      <c r="W49" s="218" t="s">
        <v>172</v>
      </c>
      <c r="X49" s="218"/>
      <c r="Y49" s="218"/>
      <c r="Z49" s="218"/>
      <c r="AA49" s="218" t="s">
        <v>173</v>
      </c>
      <c r="AB49" s="218"/>
      <c r="AC49" s="218"/>
      <c r="AD49" s="218"/>
      <c r="AE49" s="218" t="s">
        <v>172</v>
      </c>
      <c r="AF49" s="218"/>
      <c r="AG49" s="222"/>
      <c r="AH49" s="222" t="s">
        <v>172</v>
      </c>
      <c r="AI49" s="219"/>
      <c r="AJ49" s="203">
        <f t="shared" si="0"/>
        <v>3</v>
      </c>
    </row>
    <row r="50" spans="1:36" ht="17.25" customHeight="1" x14ac:dyDescent="0.2">
      <c r="A50" s="204" t="s">
        <v>159</v>
      </c>
      <c r="B50" s="205">
        <f>'Nov2025'!B45+1.25- (COUNTIF(E50:AI50, "VL") * 1) - (COUNTIF(E50:AI50, "HDL") * 0.5)</f>
        <v>5</v>
      </c>
      <c r="C50" s="206">
        <f>'Nov2025'!C45-COUNTIF(E50:AI50, "SL")-(COUNTIF(E50:AI50, "HDSL") * 0.5)</f>
        <v>0</v>
      </c>
      <c r="D50" s="207">
        <f>'Jun2025 '!D39-COUNTIF(E50:AI50, "SPL")</f>
        <v>0</v>
      </c>
      <c r="E50" s="218"/>
      <c r="F50" s="218"/>
      <c r="G50" s="218"/>
      <c r="H50" s="218"/>
      <c r="I50" s="218"/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  <c r="AA50" s="218"/>
      <c r="AB50" s="218"/>
      <c r="AC50" s="218"/>
      <c r="AD50" s="218"/>
      <c r="AE50" s="218"/>
      <c r="AF50" s="218"/>
      <c r="AG50" s="233" t="s">
        <v>172</v>
      </c>
      <c r="AH50" s="233" t="s">
        <v>172</v>
      </c>
      <c r="AI50" s="219" t="s">
        <v>172</v>
      </c>
      <c r="AJ50" s="203">
        <f t="shared" si="0"/>
        <v>0</v>
      </c>
    </row>
    <row r="51" spans="1:36" ht="17.25" customHeight="1" x14ac:dyDescent="0.2">
      <c r="A51" s="271" t="s">
        <v>223</v>
      </c>
      <c r="B51" s="205">
        <f>'Nov2025'!B46+1.25- (COUNTIF(E51:AI51, "VL") * 1) - (COUNTIF(E51:AI51, "HDL") * 0.5)</f>
        <v>7.5</v>
      </c>
      <c r="C51" s="206">
        <f>'Nov2025'!C46-COUNTIF(E51:AI51, "SL")-(COUNTIF(E51:AI51, "HDSL") * 0.5)</f>
        <v>0.49599999999999644</v>
      </c>
      <c r="D51" s="207">
        <f>'Jun2025 '!D40-COUNTIF(E51:AI51, "SPL")</f>
        <v>0</v>
      </c>
      <c r="E51" s="218" t="s">
        <v>173</v>
      </c>
      <c r="F51" s="218"/>
      <c r="G51" s="218"/>
      <c r="H51" s="218"/>
      <c r="I51" s="218"/>
      <c r="J51" s="218"/>
      <c r="K51" s="218"/>
      <c r="L51" s="218" t="s">
        <v>173</v>
      </c>
      <c r="M51" s="218"/>
      <c r="N51" s="218"/>
      <c r="O51" s="218"/>
      <c r="P51" s="218"/>
      <c r="Q51" s="218"/>
      <c r="R51" s="218"/>
      <c r="S51" s="218"/>
      <c r="T51" s="218"/>
      <c r="U51" s="218"/>
      <c r="V51" s="218" t="s">
        <v>172</v>
      </c>
      <c r="W51" s="218" t="s">
        <v>172</v>
      </c>
      <c r="X51" s="218"/>
      <c r="Y51" s="218"/>
      <c r="Z51" s="218"/>
      <c r="AA51" s="218"/>
      <c r="AB51" s="218"/>
      <c r="AC51" s="218"/>
      <c r="AD51" s="218"/>
      <c r="AE51" s="218"/>
      <c r="AF51" s="218"/>
      <c r="AG51" s="233"/>
      <c r="AH51" s="233"/>
      <c r="AI51" s="219"/>
      <c r="AJ51" s="203">
        <f t="shared" si="0"/>
        <v>2</v>
      </c>
    </row>
    <row r="52" spans="1:36" ht="17.25" customHeight="1" x14ac:dyDescent="0.2">
      <c r="A52" s="215" t="s">
        <v>359</v>
      </c>
      <c r="B52" s="205">
        <f>'Nov2025'!B47+1.25- (COUNTIF(E52:AI52, "VL") * 1) - (COUNTIF(E52:AI52, "HDL") * 0.5)</f>
        <v>6.5</v>
      </c>
      <c r="C52" s="206">
        <f>'Nov2025'!C47+0.416-COUNTIF(E52:AI52, "SL")-(COUNTIF(E52:AI52, "HDSL") * 0.5)</f>
        <v>4.1639999999999997</v>
      </c>
      <c r="D52" s="207"/>
      <c r="E52" s="218"/>
      <c r="F52" s="218"/>
      <c r="G52" s="218"/>
      <c r="H52" s="218"/>
      <c r="I52" s="218"/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08"/>
      <c r="Y52" s="208"/>
      <c r="Z52" s="208" t="s">
        <v>172</v>
      </c>
      <c r="AA52" s="208"/>
      <c r="AB52" s="208"/>
      <c r="AC52" s="218"/>
      <c r="AD52" s="218" t="s">
        <v>172</v>
      </c>
      <c r="AE52" s="218" t="s">
        <v>172</v>
      </c>
      <c r="AF52" s="218"/>
      <c r="AG52" s="233"/>
      <c r="AH52" s="233"/>
      <c r="AI52" s="219"/>
      <c r="AJ52" s="203">
        <f t="shared" si="0"/>
        <v>0</v>
      </c>
    </row>
    <row r="53" spans="1:36" ht="17.25" customHeight="1" x14ac:dyDescent="0.2">
      <c r="A53" s="204" t="s">
        <v>185</v>
      </c>
      <c r="B53" s="205">
        <f>'Nov2025'!B48+1.25- (COUNTIF(E53:AI53, "VL") * 1) - (COUNTIF(E53:AI53, "HDL") * 0.5)</f>
        <v>2.5</v>
      </c>
      <c r="C53" s="206">
        <f>'Nov2025'!C48-COUNTIF(E53:AI53, "SL")-(COUNTIF(E53:AI53, "HDSL") * 0.5)</f>
        <v>0</v>
      </c>
      <c r="D53" s="207">
        <f>'Jun2025 '!D41-COUNTIF(E53:AI53, "SPL")</f>
        <v>0</v>
      </c>
      <c r="E53" s="218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  <c r="AA53" s="218" t="s">
        <v>173</v>
      </c>
      <c r="AB53" s="218" t="s">
        <v>172</v>
      </c>
      <c r="AC53" s="218"/>
      <c r="AD53" s="218"/>
      <c r="AE53" s="218"/>
      <c r="AF53" s="218"/>
      <c r="AG53" s="233" t="s">
        <v>172</v>
      </c>
      <c r="AH53" s="233" t="s">
        <v>172</v>
      </c>
      <c r="AI53" s="233" t="s">
        <v>172</v>
      </c>
      <c r="AJ53" s="203">
        <f t="shared" si="0"/>
        <v>1</v>
      </c>
    </row>
    <row r="54" spans="1:36" ht="15.75" customHeight="1" x14ac:dyDescent="0.2">
      <c r="A54" s="215" t="s">
        <v>360</v>
      </c>
      <c r="B54" s="205">
        <f>'Nov2025'!B49+1.25- (COUNTIF(E54:AI54, "VL") * 1) - (COUNTIF(E54:AI54, "HDL") * 0.5)</f>
        <v>3.5</v>
      </c>
      <c r="C54" s="206">
        <f>'Nov2025'!C49-COUNTIF(E54:AI54, "SL")-(COUNTIF(E54:AI54, "HDSL") * 0.5)</f>
        <v>0.74799999999999978</v>
      </c>
      <c r="D54" s="207"/>
      <c r="E54" s="218" t="s">
        <v>172</v>
      </c>
      <c r="F54" s="218"/>
      <c r="G54" s="218"/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  <c r="AA54" s="218"/>
      <c r="AB54" s="218"/>
      <c r="AC54" s="218"/>
      <c r="AD54" s="218"/>
      <c r="AE54" s="218"/>
      <c r="AF54" s="218"/>
      <c r="AG54" s="233"/>
      <c r="AH54" s="233"/>
      <c r="AI54" s="219"/>
      <c r="AJ54" s="203">
        <f t="shared" si="0"/>
        <v>0</v>
      </c>
    </row>
    <row r="55" spans="1:36" ht="15.75" customHeight="1" x14ac:dyDescent="0.2">
      <c r="A55" s="204" t="s">
        <v>148</v>
      </c>
      <c r="B55" s="205">
        <f>'Nov2025'!B50+1.25- (COUNTIF(E55:AI55, "VL") * 1) - (COUNTIF(E55:AI55, "HDL") * 0.5)</f>
        <v>3.5</v>
      </c>
      <c r="C55" s="206">
        <f>'Nov2025'!C50-COUNTIF(E55:AI55, "SL")-(COUNTIF(E55:AI55, "HDSL") * 0.5)</f>
        <v>0.5</v>
      </c>
      <c r="D55" s="207">
        <f>'Jun2025 '!D42-COUNTIF(E55:AI55, "SPL")</f>
        <v>0</v>
      </c>
      <c r="E55" s="218"/>
      <c r="F55" s="218"/>
      <c r="G55" s="218"/>
      <c r="H55" s="218"/>
      <c r="I55" s="218"/>
      <c r="J55" s="218"/>
      <c r="K55" s="218"/>
      <c r="L55" s="218"/>
      <c r="M55" s="218" t="s">
        <v>173</v>
      </c>
      <c r="N55" s="218"/>
      <c r="O55" s="218"/>
      <c r="P55" s="218"/>
      <c r="Q55" s="218"/>
      <c r="R55" s="218"/>
      <c r="S55" s="218"/>
      <c r="T55" s="218"/>
      <c r="U55" s="218" t="s">
        <v>172</v>
      </c>
      <c r="V55" s="218" t="s">
        <v>172</v>
      </c>
      <c r="W55" s="218" t="s">
        <v>172</v>
      </c>
      <c r="X55" s="218"/>
      <c r="Y55" s="218"/>
      <c r="Z55" s="218" t="s">
        <v>172</v>
      </c>
      <c r="AA55" s="218" t="s">
        <v>172</v>
      </c>
      <c r="AB55" s="218" t="s">
        <v>172</v>
      </c>
      <c r="AC55" s="218"/>
      <c r="AD55" s="218"/>
      <c r="AE55" s="218"/>
      <c r="AF55" s="218"/>
      <c r="AG55" s="233" t="s">
        <v>172</v>
      </c>
      <c r="AH55" s="233" t="s">
        <v>172</v>
      </c>
      <c r="AI55" s="233" t="s">
        <v>172</v>
      </c>
      <c r="AJ55" s="203">
        <f t="shared" si="0"/>
        <v>1</v>
      </c>
    </row>
    <row r="56" spans="1:36" ht="15.75" customHeight="1" x14ac:dyDescent="0.2">
      <c r="A56" s="237" t="s">
        <v>171</v>
      </c>
      <c r="B56" s="205">
        <f>'Nov2025'!B51- (COUNTIF(E56:AI56, "VL") * 1) - (COUNTIF(E56:AI56, "HDL") * 0.5)</f>
        <v>26.5</v>
      </c>
      <c r="C56" s="206">
        <f>'Nov2025'!C51-COUNTIF(E56:AI56, "SL")-(COUNTIF(E56:AI56, "HDSL") * 0.5)</f>
        <v>3</v>
      </c>
      <c r="D56" s="207">
        <f>'Jun2025 '!D43-COUNTIF(E56:AI56, "SPL")</f>
        <v>0</v>
      </c>
      <c r="E56" s="218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  <c r="AA56" s="218"/>
      <c r="AB56" s="218"/>
      <c r="AC56" s="218"/>
      <c r="AD56" s="218"/>
      <c r="AE56" s="218"/>
      <c r="AF56" s="218"/>
      <c r="AG56" s="233"/>
      <c r="AH56" s="233"/>
      <c r="AI56" s="219"/>
      <c r="AJ56" s="203">
        <f t="shared" si="0"/>
        <v>0</v>
      </c>
    </row>
    <row r="57" spans="1:36" ht="15.75" customHeight="1" x14ac:dyDescent="0.2">
      <c r="A57" s="204" t="s">
        <v>186</v>
      </c>
      <c r="B57" s="205">
        <f>'Nov2025'!B52+1.25- (COUNTIF(E57:AI57, "VL") * 1) - (COUNTIF(E57:AI57, "HDL") * 0.5)</f>
        <v>12.5</v>
      </c>
      <c r="C57" s="206">
        <f>'Nov2025'!C52-COUNTIF(E57:AI57, "SL")-(COUNTIF(E57:AI57, "HDSL") * 0.5)</f>
        <v>1</v>
      </c>
      <c r="D57" s="207">
        <f>'Jun2025 '!D44-COUNTIF(E57:AI57, "SPL")</f>
        <v>0</v>
      </c>
      <c r="E57" s="218"/>
      <c r="F57" s="218"/>
      <c r="G57" s="218"/>
      <c r="H57" s="218"/>
      <c r="I57" s="218"/>
      <c r="J57" s="218"/>
      <c r="K57" s="218"/>
      <c r="L57" s="218" t="s">
        <v>173</v>
      </c>
      <c r="M57" s="218" t="s">
        <v>173</v>
      </c>
      <c r="N57" s="218"/>
      <c r="O57" s="218"/>
      <c r="P57" s="218"/>
      <c r="Q57" s="218"/>
      <c r="R57" s="218"/>
      <c r="S57" s="218" t="s">
        <v>173</v>
      </c>
      <c r="T57" s="218"/>
      <c r="U57" s="218"/>
      <c r="V57" s="218"/>
      <c r="W57" s="218"/>
      <c r="X57" s="218"/>
      <c r="Y57" s="218"/>
      <c r="Z57" s="218"/>
      <c r="AA57" s="218"/>
      <c r="AB57" s="218" t="s">
        <v>172</v>
      </c>
      <c r="AC57" s="218"/>
      <c r="AD57" s="218"/>
      <c r="AE57" s="218"/>
      <c r="AF57" s="218"/>
      <c r="AG57" s="233" t="s">
        <v>175</v>
      </c>
      <c r="AH57" s="233" t="s">
        <v>172</v>
      </c>
      <c r="AI57" s="218" t="s">
        <v>172</v>
      </c>
      <c r="AJ57" s="203">
        <f t="shared" si="0"/>
        <v>3</v>
      </c>
    </row>
    <row r="58" spans="1:36" ht="15.75" customHeight="1" x14ac:dyDescent="0.2">
      <c r="A58" s="215" t="s">
        <v>368</v>
      </c>
      <c r="B58" s="205">
        <f>'Nov2025'!B53+1.25- (COUNTIF(E58:AI58, "VL") * 1) - (COUNTIF(E58:AI58, "HDL") * 0.5)</f>
        <v>1.5</v>
      </c>
      <c r="C58" s="206">
        <f>'Nov2025'!C53+0.416-COUNTIF(E58:AI58, "SL")-(COUNTIF(E58:AI58, "HDSL") * 0.5)</f>
        <v>3.1639999999999997</v>
      </c>
      <c r="D58" s="207"/>
      <c r="E58" s="218"/>
      <c r="F58" s="218"/>
      <c r="G58" s="218"/>
      <c r="H58" s="218"/>
      <c r="I58" s="218"/>
      <c r="J58" s="218"/>
      <c r="K58" s="218"/>
      <c r="L58" s="218"/>
      <c r="M58" s="218"/>
      <c r="N58" s="218"/>
      <c r="O58" s="218"/>
      <c r="P58" s="218"/>
      <c r="Q58" s="218"/>
      <c r="R58" s="218"/>
      <c r="S58" s="218" t="s">
        <v>172</v>
      </c>
      <c r="T58" s="218" t="s">
        <v>172</v>
      </c>
      <c r="U58" s="218"/>
      <c r="V58" s="218"/>
      <c r="W58" s="218"/>
      <c r="X58" s="218"/>
      <c r="Y58" s="218"/>
      <c r="Z58" s="218" t="s">
        <v>173</v>
      </c>
      <c r="AA58" s="218" t="s">
        <v>172</v>
      </c>
      <c r="AB58" s="218" t="s">
        <v>172</v>
      </c>
      <c r="AC58" s="218"/>
      <c r="AD58" s="218"/>
      <c r="AE58" s="218"/>
      <c r="AF58" s="218"/>
      <c r="AG58" s="233" t="s">
        <v>172</v>
      </c>
      <c r="AH58" s="233" t="s">
        <v>172</v>
      </c>
      <c r="AI58" s="219"/>
      <c r="AJ58" s="203">
        <f t="shared" si="0"/>
        <v>1</v>
      </c>
    </row>
    <row r="59" spans="1:36" ht="15.75" customHeight="1" x14ac:dyDescent="0.2">
      <c r="A59" s="209" t="s">
        <v>188</v>
      </c>
      <c r="B59" s="205">
        <f>'Nov2025'!B54+1.25- (COUNTIF(E59:AI59, "VL") * 1) - (COUNTIF(E59:AI59, "HDL") * 0.5)</f>
        <v>1</v>
      </c>
      <c r="C59" s="206">
        <f>'Nov2025'!C54-COUNTIF(E59:AI59, "SL")-(COUNTIF(E59:AI59, "HDSL") * 0.5)</f>
        <v>0</v>
      </c>
      <c r="D59" s="207">
        <f>'Jun2025 '!D45-COUNTIF(E59:AI59, "SPL")</f>
        <v>0</v>
      </c>
      <c r="E59" s="218"/>
      <c r="F59" s="218"/>
      <c r="G59" s="218"/>
      <c r="H59" s="218"/>
      <c r="I59" s="218"/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  <c r="AA59" s="218"/>
      <c r="AB59" s="218"/>
      <c r="AC59" s="218"/>
      <c r="AD59" s="218"/>
      <c r="AE59" s="218"/>
      <c r="AF59" s="218"/>
      <c r="AG59" s="233"/>
      <c r="AH59" s="233"/>
      <c r="AI59" s="219"/>
      <c r="AJ59" s="203">
        <f t="shared" si="0"/>
        <v>0</v>
      </c>
    </row>
    <row r="60" spans="1:36" ht="15.75" customHeight="1" x14ac:dyDescent="0.2">
      <c r="A60" s="204" t="s">
        <v>187</v>
      </c>
      <c r="B60" s="205">
        <f>'Nov2025'!B55+1.25- (COUNTIF(E60:AI60, "VL") * 1) - (COUNTIF(E60:AI60, "HDL") * 0.5)</f>
        <v>2.25</v>
      </c>
      <c r="C60" s="206">
        <f>'Nov2025'!C55-COUNTIF(E60:AI60, "SL")-(COUNTIF(E60:AI60, "HDSL") * 0.5)</f>
        <v>-1</v>
      </c>
      <c r="D60" s="207">
        <f>'Jun2025 '!D46-COUNTIF(E60:AI60, "SPL")</f>
        <v>0</v>
      </c>
      <c r="E60" s="218" t="s">
        <v>173</v>
      </c>
      <c r="F60" s="218"/>
      <c r="G60" s="218"/>
      <c r="H60" s="218"/>
      <c r="I60" s="218"/>
      <c r="J60" s="218"/>
      <c r="K60" s="218"/>
      <c r="L60" s="218"/>
      <c r="M60" s="218"/>
      <c r="N60" s="218"/>
      <c r="O60" s="218" t="s">
        <v>175</v>
      </c>
      <c r="P60" s="218"/>
      <c r="Q60" s="218"/>
      <c r="R60" s="218"/>
      <c r="S60" s="218"/>
      <c r="T60" s="218" t="s">
        <v>182</v>
      </c>
      <c r="U60" s="218"/>
      <c r="V60" s="218" t="s">
        <v>173</v>
      </c>
      <c r="W60" s="218" t="s">
        <v>172</v>
      </c>
      <c r="X60" s="218"/>
      <c r="Y60" s="218"/>
      <c r="Z60" s="218" t="s">
        <v>172</v>
      </c>
      <c r="AA60" s="218" t="s">
        <v>172</v>
      </c>
      <c r="AB60" s="218"/>
      <c r="AC60" s="218"/>
      <c r="AD60" s="218"/>
      <c r="AE60" s="218"/>
      <c r="AF60" s="218"/>
      <c r="AG60" s="233" t="s">
        <v>172</v>
      </c>
      <c r="AH60" s="233" t="s">
        <v>172</v>
      </c>
      <c r="AI60" s="219"/>
      <c r="AJ60" s="203">
        <f t="shared" si="0"/>
        <v>2</v>
      </c>
    </row>
    <row r="61" spans="1:36" ht="15.75" customHeight="1" x14ac:dyDescent="0.2">
      <c r="A61" s="215" t="s">
        <v>219</v>
      </c>
      <c r="B61" s="205">
        <f>'Nov2025'!B56+1.25- (COUNTIF(E61:AI61, "VL") * 1) - (COUNTIF(E61:AI61, "HDL") * 0.5)</f>
        <v>12.75</v>
      </c>
      <c r="C61" s="206">
        <f>'Nov2025'!C56-COUNTIF(E61:AI61, "SL")-(COUNTIF(E61:AI61, "HDSL") * 0.5)</f>
        <v>7.4999999999999964</v>
      </c>
      <c r="D61" s="207">
        <f>'Jun2025 '!D47-COUNTIF(E61:AI61, "SPL")</f>
        <v>0</v>
      </c>
      <c r="E61" s="218"/>
      <c r="F61" s="218"/>
      <c r="G61" s="218"/>
      <c r="H61" s="218" t="s">
        <v>172</v>
      </c>
      <c r="I61" s="218" t="s">
        <v>172</v>
      </c>
      <c r="J61" s="218"/>
      <c r="K61" s="218"/>
      <c r="L61" s="218" t="s">
        <v>172</v>
      </c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 t="s">
        <v>172</v>
      </c>
      <c r="AA61" s="218" t="s">
        <v>172</v>
      </c>
      <c r="AB61" s="218" t="s">
        <v>172</v>
      </c>
      <c r="AC61" s="218"/>
      <c r="AD61" s="218"/>
      <c r="AE61" s="218"/>
      <c r="AF61" s="218"/>
      <c r="AG61" s="233"/>
      <c r="AH61" s="233" t="s">
        <v>172</v>
      </c>
      <c r="AI61" s="219" t="s">
        <v>172</v>
      </c>
      <c r="AJ61" s="203">
        <f t="shared" si="0"/>
        <v>0</v>
      </c>
    </row>
    <row r="62" spans="1:36" ht="15.75" customHeight="1" x14ac:dyDescent="0.2">
      <c r="A62" s="215" t="s">
        <v>362</v>
      </c>
      <c r="B62" s="205">
        <f>'Nov2025'!B57+1.25- (COUNTIF(E62:AI62, "VL") * 1) - (COUNTIF(E62:AI62, "HDL") * 0.5)</f>
        <v>7.5</v>
      </c>
      <c r="C62" s="206">
        <f>'Nov2025'!C57+0.416-COUNTIF(E62:AI62, "SL")-(COUNTIF(E62:AI62, "HDSL") * 0.5)</f>
        <v>4.1639999999999997</v>
      </c>
      <c r="D62" s="207"/>
      <c r="E62" s="218"/>
      <c r="F62" s="218"/>
      <c r="G62" s="218"/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  <c r="AA62" s="218" t="s">
        <v>172</v>
      </c>
      <c r="AB62" s="218" t="s">
        <v>172</v>
      </c>
      <c r="AC62" s="218"/>
      <c r="AD62" s="218"/>
      <c r="AE62" s="218"/>
      <c r="AF62" s="218"/>
      <c r="AG62" s="233" t="s">
        <v>172</v>
      </c>
      <c r="AH62" s="233" t="s">
        <v>172</v>
      </c>
      <c r="AI62" s="233"/>
      <c r="AJ62" s="203">
        <f t="shared" si="0"/>
        <v>0</v>
      </c>
    </row>
    <row r="63" spans="1:36" ht="16.5" customHeight="1" x14ac:dyDescent="0.2">
      <c r="A63" s="204" t="s">
        <v>154</v>
      </c>
      <c r="B63" s="205">
        <f>'Nov2025'!B58+1.25- (COUNTIF(E63:AI63, "VL") * 1) - (COUNTIF(E63:AI63, "HDL") * 0.5)</f>
        <v>3.5</v>
      </c>
      <c r="C63" s="206">
        <f>'Nov2025'!C58-COUNTIF(E63:AI63, "SL")-(COUNTIF(E63:AI63, "HDSL") * 0.5)</f>
        <v>0.33199999999999985</v>
      </c>
      <c r="D63" s="207">
        <f>'Jun2025 '!D48-COUNTIF(E63:AI63, "SPL")</f>
        <v>0</v>
      </c>
      <c r="E63" s="218"/>
      <c r="F63" s="218"/>
      <c r="G63" s="218"/>
      <c r="H63" s="218"/>
      <c r="I63" s="218"/>
      <c r="J63" s="218"/>
      <c r="K63" s="218"/>
      <c r="L63" s="218"/>
      <c r="M63" s="218"/>
      <c r="N63" s="218"/>
      <c r="O63" s="218" t="s">
        <v>173</v>
      </c>
      <c r="P63" s="218"/>
      <c r="Q63" s="218"/>
      <c r="R63" s="218"/>
      <c r="S63" s="218"/>
      <c r="T63" s="218"/>
      <c r="U63" s="218"/>
      <c r="V63" s="218"/>
      <c r="W63" s="218"/>
      <c r="X63" s="218" t="s">
        <v>173</v>
      </c>
      <c r="Y63" s="218"/>
      <c r="Z63" s="218" t="s">
        <v>182</v>
      </c>
      <c r="AA63" s="218"/>
      <c r="AB63" s="218"/>
      <c r="AC63" s="218"/>
      <c r="AD63" s="218"/>
      <c r="AE63" s="218" t="s">
        <v>172</v>
      </c>
      <c r="AF63" s="218"/>
      <c r="AG63" s="233"/>
      <c r="AH63" s="233"/>
      <c r="AI63" s="219"/>
      <c r="AJ63" s="203">
        <f t="shared" si="0"/>
        <v>2</v>
      </c>
    </row>
    <row r="64" spans="1:36" ht="16.5" customHeight="1" x14ac:dyDescent="0.2">
      <c r="A64" s="204" t="s">
        <v>189</v>
      </c>
      <c r="B64" s="205">
        <f>'Nov2025'!B59+1.25- (COUNTIF(E64:AI64, "VL") * 1) - (COUNTIF(E64:AI64, "HDL") * 0.5)</f>
        <v>5.5</v>
      </c>
      <c r="C64" s="206">
        <f>'Nov2025'!C59-COUNTIF(E64:AI64, "SL")-(COUNTIF(E64:AI64, "HDSL") * 0.5)</f>
        <v>0</v>
      </c>
      <c r="D64" s="207">
        <f>'Jun2025 '!D49-COUNTIF(E64:AI64, "SPL")</f>
        <v>0</v>
      </c>
      <c r="E64" s="218"/>
      <c r="F64" s="218"/>
      <c r="G64" s="218"/>
      <c r="H64" s="218"/>
      <c r="I64" s="218"/>
      <c r="J64" s="218"/>
      <c r="K64" s="218"/>
      <c r="L64" s="218" t="s">
        <v>182</v>
      </c>
      <c r="M64" s="218"/>
      <c r="N64" s="218"/>
      <c r="O64" s="218"/>
      <c r="P64" s="218" t="s">
        <v>172</v>
      </c>
      <c r="Q64" s="218"/>
      <c r="R64" s="218"/>
      <c r="S64" s="218"/>
      <c r="T64" s="218"/>
      <c r="U64" s="218"/>
      <c r="V64" s="218" t="s">
        <v>172</v>
      </c>
      <c r="W64" s="218" t="s">
        <v>172</v>
      </c>
      <c r="X64" s="218"/>
      <c r="Y64" s="218"/>
      <c r="Z64" s="218" t="s">
        <v>172</v>
      </c>
      <c r="AA64" s="218" t="s">
        <v>172</v>
      </c>
      <c r="AB64" s="218"/>
      <c r="AC64" s="218"/>
      <c r="AD64" s="218"/>
      <c r="AE64" s="218"/>
      <c r="AF64" s="218"/>
      <c r="AG64" s="222" t="s">
        <v>172</v>
      </c>
      <c r="AH64" s="222" t="s">
        <v>172</v>
      </c>
      <c r="AI64" s="219"/>
      <c r="AJ64" s="203">
        <f t="shared" si="0"/>
        <v>0</v>
      </c>
    </row>
    <row r="65" spans="1:36" ht="16.5" customHeight="1" x14ac:dyDescent="0.2">
      <c r="A65" s="271" t="s">
        <v>354</v>
      </c>
      <c r="B65" s="205">
        <f>'Nov2025'!B60+1.25- (COUNTIF(E65:AI65, "VL") * 1) - (COUNTIF(E65:AI65, "HDL") * 0.5)</f>
        <v>3.25</v>
      </c>
      <c r="C65" s="206">
        <f>'Nov2025'!C60+0.416-COUNTIF(E65:AI65, "SL")-(COUNTIF(E65:AI65, "HDSL") * 0.5)</f>
        <v>-3.3333333333382953E-3</v>
      </c>
      <c r="D65" s="207">
        <f>'Jun2025 '!D50-COUNTIF(E65:AI65, "SPL")</f>
        <v>0</v>
      </c>
      <c r="E65" s="218" t="s">
        <v>172</v>
      </c>
      <c r="F65" s="218"/>
      <c r="G65" s="218"/>
      <c r="H65" s="218"/>
      <c r="I65" s="218"/>
      <c r="J65" s="218"/>
      <c r="K65" s="218"/>
      <c r="L65" s="218" t="s">
        <v>172</v>
      </c>
      <c r="M65" s="218"/>
      <c r="N65" s="218"/>
      <c r="O65" s="218" t="s">
        <v>173</v>
      </c>
      <c r="P65" s="218"/>
      <c r="Q65" s="218"/>
      <c r="R65" s="218"/>
      <c r="S65" s="218" t="s">
        <v>172</v>
      </c>
      <c r="T65" s="218" t="s">
        <v>172</v>
      </c>
      <c r="U65" s="218"/>
      <c r="V65" s="218" t="s">
        <v>172</v>
      </c>
      <c r="W65" s="218" t="s">
        <v>172</v>
      </c>
      <c r="X65" s="218"/>
      <c r="Y65" s="218"/>
      <c r="Z65" s="218" t="s">
        <v>172</v>
      </c>
      <c r="AA65" s="218" t="s">
        <v>172</v>
      </c>
      <c r="AB65" s="218"/>
      <c r="AC65" s="218"/>
      <c r="AD65" s="218"/>
      <c r="AE65" s="218"/>
      <c r="AF65" s="218"/>
      <c r="AG65" s="222" t="s">
        <v>172</v>
      </c>
      <c r="AH65" s="222" t="s">
        <v>172</v>
      </c>
      <c r="AI65" s="219"/>
      <c r="AJ65" s="203">
        <f t="shared" si="0"/>
        <v>1</v>
      </c>
    </row>
    <row r="66" spans="1:36" ht="16.5" customHeight="1" x14ac:dyDescent="0.2">
      <c r="A66" s="215" t="s">
        <v>363</v>
      </c>
      <c r="B66" s="205">
        <f>'Nov2025'!B61+1.25- (COUNTIF(E66:AI66, "VL") * 1) - (COUNTIF(E66:AI66, "HDL") * 0.5)</f>
        <v>6.75</v>
      </c>
      <c r="C66" s="206">
        <f>'Nov2025'!C61-COUNTIF(E66:AI66, "SL")-(COUNTIF(E66:AI66, "HDSL") * 0.5)</f>
        <v>2.1639999999999997</v>
      </c>
      <c r="D66" s="207">
        <f>'Jun2025 '!D51-COUNTIF(E66:AI66, "SPL")</f>
        <v>0</v>
      </c>
      <c r="E66" s="240"/>
      <c r="F66" s="240"/>
      <c r="G66" s="240"/>
      <c r="H66" s="240"/>
      <c r="I66" s="240" t="s">
        <v>173</v>
      </c>
      <c r="J66" s="240"/>
      <c r="K66" s="240"/>
      <c r="L66" s="240"/>
      <c r="M66" s="240"/>
      <c r="N66" s="240"/>
      <c r="O66" s="240"/>
      <c r="P66" s="240"/>
      <c r="Q66" s="240"/>
      <c r="R66" s="240"/>
      <c r="S66" s="240"/>
      <c r="T66" s="240"/>
      <c r="U66" s="240"/>
      <c r="V66" s="240"/>
      <c r="W66" s="240"/>
      <c r="X66" s="240"/>
      <c r="Y66" s="240"/>
      <c r="Z66" s="240" t="s">
        <v>172</v>
      </c>
      <c r="AA66" s="240" t="s">
        <v>172</v>
      </c>
      <c r="AB66" s="240" t="s">
        <v>172</v>
      </c>
      <c r="AC66" s="240"/>
      <c r="AD66" s="240"/>
      <c r="AE66" s="240"/>
      <c r="AF66" s="240"/>
      <c r="AG66" s="226" t="s">
        <v>172</v>
      </c>
      <c r="AH66" s="226" t="s">
        <v>172</v>
      </c>
      <c r="AI66" s="270" t="s">
        <v>172</v>
      </c>
      <c r="AJ66" s="203">
        <f t="shared" si="0"/>
        <v>1</v>
      </c>
    </row>
    <row r="67" spans="1:36" ht="16.5" customHeight="1" x14ac:dyDescent="0.2">
      <c r="A67" s="204" t="s">
        <v>155</v>
      </c>
      <c r="B67" s="205">
        <f>'Nov2025'!B62+1.25- (COUNTIF(E67:AI67, "VL") * 1) - (COUNTIF(E67:AI67, "HDL") * 0.5)</f>
        <v>3.25</v>
      </c>
      <c r="C67" s="206">
        <f>'Nov2025'!C62-COUNTIF(E67:AI67, "SL")-(COUNTIF(E67:AI67, "HDSL") * 0.5)</f>
        <v>0</v>
      </c>
      <c r="D67" s="207">
        <f>'Jun2025 '!D51-COUNTIF(E67:AI67, "SPL")</f>
        <v>0</v>
      </c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0"/>
      <c r="Q67" s="240"/>
      <c r="R67" s="240"/>
      <c r="S67" s="240"/>
      <c r="T67" s="240"/>
      <c r="U67" s="240"/>
      <c r="V67" s="240"/>
      <c r="W67" s="240"/>
      <c r="X67" s="240"/>
      <c r="Y67" s="240"/>
      <c r="Z67" s="240" t="s">
        <v>172</v>
      </c>
      <c r="AA67" s="240"/>
      <c r="AB67" s="240"/>
      <c r="AC67" s="240"/>
      <c r="AD67" s="240"/>
      <c r="AE67" s="240"/>
      <c r="AF67" s="240"/>
      <c r="AG67" s="244" t="s">
        <v>172</v>
      </c>
      <c r="AH67" s="233"/>
      <c r="AI67" s="257"/>
      <c r="AJ67" s="203">
        <f t="shared" si="0"/>
        <v>0</v>
      </c>
    </row>
    <row r="68" spans="1:36" ht="16.5" customHeight="1" x14ac:dyDescent="0.2">
      <c r="A68" s="271" t="s">
        <v>374</v>
      </c>
      <c r="B68" s="205">
        <f>1.25*4- (COUNTIF(E68:AI68, "VL") * 1) - (COUNTIF(E68:AI68, "HDL") * 0.5)</f>
        <v>0</v>
      </c>
      <c r="C68" s="206">
        <f>0.416*4-COUNTIF(E68:AI68, "SL")-(COUNTIF(E68:AI68, "HDSL") * 0.5)</f>
        <v>0.66399999999999992</v>
      </c>
      <c r="D68" s="207"/>
      <c r="E68" s="240"/>
      <c r="F68" s="240"/>
      <c r="G68" s="240"/>
      <c r="H68" s="240"/>
      <c r="I68" s="240"/>
      <c r="J68" s="240"/>
      <c r="K68" s="240"/>
      <c r="L68" s="240"/>
      <c r="M68" s="240"/>
      <c r="N68" s="240"/>
      <c r="O68" s="240"/>
      <c r="P68" s="240" t="s">
        <v>173</v>
      </c>
      <c r="Q68" s="240"/>
      <c r="R68" s="240"/>
      <c r="S68" s="240"/>
      <c r="T68" s="240"/>
      <c r="U68" s="240"/>
      <c r="V68" s="240"/>
      <c r="W68" s="240"/>
      <c r="X68" s="240"/>
      <c r="Y68" s="240"/>
      <c r="Z68" s="240" t="s">
        <v>172</v>
      </c>
      <c r="AA68" s="240" t="s">
        <v>172</v>
      </c>
      <c r="AB68" s="240"/>
      <c r="AC68" s="240"/>
      <c r="AD68" s="240"/>
      <c r="AE68" s="240"/>
      <c r="AF68" s="240"/>
      <c r="AG68" s="244" t="s">
        <v>172</v>
      </c>
      <c r="AH68" s="244" t="s">
        <v>172</v>
      </c>
      <c r="AI68" s="218" t="s">
        <v>172</v>
      </c>
    </row>
    <row r="69" spans="1:36" ht="16.5" customHeight="1" x14ac:dyDescent="0.2">
      <c r="A69" s="204" t="s">
        <v>224</v>
      </c>
      <c r="B69" s="205">
        <f>'Nov2025'!B63+1.25- (COUNTIF(E69:AI69, "VL") * 1) - (COUNTIF(E69:AI69, "HDL") * 0.5)</f>
        <v>12</v>
      </c>
      <c r="C69" s="206">
        <f ca="1">'Nov2025'!C63-COUNTIF(E69:AI69, "SL")-(COUNTIF(E69:AI69, "HDSL") * 0.5)</f>
        <v>0</v>
      </c>
      <c r="D69" s="207">
        <f>'Jun2025 '!D52-COUNTIF(E69:AI69, "SPL")</f>
        <v>0</v>
      </c>
      <c r="E69" s="211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  <c r="Z69" s="211"/>
      <c r="AA69" s="219" t="s">
        <v>172</v>
      </c>
      <c r="AB69" s="219" t="s">
        <v>172</v>
      </c>
      <c r="AC69" s="211"/>
      <c r="AD69" s="211"/>
      <c r="AE69" s="211"/>
      <c r="AF69" s="211"/>
      <c r="AG69" s="246" t="s">
        <v>172</v>
      </c>
      <c r="AH69" s="246" t="s">
        <v>172</v>
      </c>
      <c r="AI69" s="264"/>
      <c r="AJ69" s="203">
        <f t="shared" si="0"/>
        <v>0</v>
      </c>
    </row>
    <row r="70" spans="1:36" ht="16.5" customHeight="1" x14ac:dyDescent="0.2">
      <c r="A70" s="254" t="s">
        <v>166</v>
      </c>
      <c r="B70" s="205">
        <f>'Nov2025'!B64+1.25- (COUNTIF(E70:AI70, "VL") * 1) - (COUNTIF(E70:AI70, "HDL") * 0.5)</f>
        <v>3.75</v>
      </c>
      <c r="C70" s="255">
        <f>'Nov2025'!C64-COUNTIF(E70:AI70, "SL")-(COUNTIF(E70:AI70, "HDSL") * 0.5)</f>
        <v>0</v>
      </c>
      <c r="D70" s="256">
        <f>'Jun2025 '!D53-COUNTIF(E70:AI70, "SPL")</f>
        <v>0</v>
      </c>
      <c r="E70" s="225"/>
      <c r="F70" s="225"/>
      <c r="G70" s="225"/>
      <c r="H70" s="225"/>
      <c r="I70" s="225"/>
      <c r="J70" s="225"/>
      <c r="K70" s="225"/>
      <c r="L70" s="225"/>
      <c r="M70" s="225"/>
      <c r="N70" s="225"/>
      <c r="O70" s="225" t="s">
        <v>175</v>
      </c>
      <c r="P70" s="257"/>
      <c r="Q70" s="225"/>
      <c r="R70" s="225"/>
      <c r="S70" s="225" t="s">
        <v>173</v>
      </c>
      <c r="T70" s="225"/>
      <c r="U70" s="225"/>
      <c r="V70" s="225"/>
      <c r="W70" s="225"/>
      <c r="X70" s="225"/>
      <c r="Y70" s="225"/>
      <c r="Z70" s="225"/>
      <c r="AA70" s="225"/>
      <c r="AB70" s="225"/>
      <c r="AC70" s="225"/>
      <c r="AD70" s="225"/>
      <c r="AE70" s="225"/>
      <c r="AF70" s="225"/>
      <c r="AG70" s="226"/>
      <c r="AH70" s="226" t="s">
        <v>175</v>
      </c>
      <c r="AI70" s="257"/>
      <c r="AJ70" s="203">
        <f t="shared" si="0"/>
        <v>1</v>
      </c>
    </row>
    <row r="71" spans="1:36" x14ac:dyDescent="0.2">
      <c r="A71" s="274" t="s">
        <v>375</v>
      </c>
      <c r="B71" s="219">
        <f>1.25*5- (COUNTIF(E71:AI71, "VL") * 1) - (COUNTIF(E71:AI71, "HDL") * 0.5)</f>
        <v>0.25</v>
      </c>
      <c r="C71" s="219">
        <f>0.416*5-COUNTIF(E71:AI71, "SL")-(COUNTIF(E71:AI71, "HDSL") * 0.5)</f>
        <v>1.08</v>
      </c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 t="s">
        <v>173</v>
      </c>
      <c r="T71" s="211"/>
      <c r="U71" s="211"/>
      <c r="V71" s="211"/>
      <c r="W71" s="211"/>
      <c r="X71" s="211"/>
      <c r="Y71" s="211"/>
      <c r="Z71" s="211" t="s">
        <v>172</v>
      </c>
      <c r="AA71" s="211" t="s">
        <v>172</v>
      </c>
      <c r="AB71" s="211" t="s">
        <v>172</v>
      </c>
      <c r="AC71" s="211"/>
      <c r="AD71" s="211" t="s">
        <v>172</v>
      </c>
      <c r="AE71" s="211"/>
      <c r="AF71" s="211"/>
      <c r="AG71" s="211" t="s">
        <v>172</v>
      </c>
      <c r="AH71" s="211"/>
      <c r="AI71" s="211" t="s">
        <v>172</v>
      </c>
    </row>
    <row r="74" spans="1:36" ht="12" x14ac:dyDescent="0.2">
      <c r="A74" t="s">
        <v>376</v>
      </c>
      <c r="Z74" s="203" t="s">
        <v>172</v>
      </c>
      <c r="AA74" s="203" t="s">
        <v>172</v>
      </c>
      <c r="AB74" s="203" t="s">
        <v>172</v>
      </c>
      <c r="AG74" s="203" t="s">
        <v>172</v>
      </c>
      <c r="AH74" s="203" t="s">
        <v>172</v>
      </c>
      <c r="AI74" s="203" t="s">
        <v>172</v>
      </c>
    </row>
    <row r="75" spans="1:36" ht="12" x14ac:dyDescent="0.2">
      <c r="A75" t="s">
        <v>377</v>
      </c>
      <c r="AB75" s="203" t="s">
        <v>217</v>
      </c>
      <c r="AI75" s="203" t="s">
        <v>217</v>
      </c>
    </row>
    <row r="76" spans="1:36" ht="12" x14ac:dyDescent="0.2">
      <c r="A76" t="s">
        <v>378</v>
      </c>
      <c r="Z76" s="203" t="s">
        <v>172</v>
      </c>
      <c r="AA76" s="203" t="s">
        <v>172</v>
      </c>
      <c r="AG76" s="203" t="s">
        <v>172</v>
      </c>
      <c r="AH76" s="203" t="s">
        <v>172</v>
      </c>
    </row>
  </sheetData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F7E23-2EAB-4BE8-BC2D-BFCAA6BF06B9}">
  <dimension ref="A2:CP82"/>
  <sheetViews>
    <sheetView workbookViewId="0">
      <pane xSplit="4" ySplit="3" topLeftCell="E53" activePane="bottomRight" state="frozen"/>
      <selection pane="topRight"/>
      <selection pane="bottomLeft"/>
      <selection pane="bottomRight" activeCell="C53" sqref="C53"/>
    </sheetView>
  </sheetViews>
  <sheetFormatPr defaultRowHeight="12" x14ac:dyDescent="0.2"/>
  <cols>
    <col min="1" max="1" width="37.6640625" customWidth="1"/>
    <col min="2" max="2" width="21.6640625" customWidth="1"/>
    <col min="3" max="4" width="15" customWidth="1"/>
    <col min="5" max="5" width="14.5" customWidth="1"/>
  </cols>
  <sheetData>
    <row r="2" spans="1:94" x14ac:dyDescent="0.2">
      <c r="A2" s="265" t="s">
        <v>124</v>
      </c>
      <c r="B2" s="267" t="s">
        <v>379</v>
      </c>
      <c r="C2" s="268" t="s">
        <v>380</v>
      </c>
      <c r="D2" s="279" t="s">
        <v>381</v>
      </c>
      <c r="E2" s="329" t="s">
        <v>382</v>
      </c>
      <c r="F2" s="329"/>
      <c r="G2" s="329"/>
      <c r="H2" s="329"/>
      <c r="I2" s="329"/>
      <c r="J2" s="330"/>
      <c r="K2" s="260"/>
      <c r="L2" s="260"/>
      <c r="M2" s="260"/>
      <c r="N2" s="260"/>
      <c r="O2" s="260"/>
      <c r="P2" s="260"/>
      <c r="Q2" s="260"/>
      <c r="R2" s="260"/>
      <c r="S2" s="260"/>
      <c r="T2" s="260"/>
      <c r="U2" s="260"/>
      <c r="V2" s="260"/>
      <c r="W2" s="260"/>
      <c r="X2" s="260"/>
      <c r="Y2" s="260"/>
      <c r="Z2" s="260"/>
      <c r="AA2" s="260"/>
      <c r="AB2" s="260"/>
      <c r="AC2" s="260"/>
      <c r="AD2" s="260"/>
      <c r="AE2" s="260"/>
      <c r="AF2" s="260"/>
      <c r="AG2" s="260"/>
      <c r="AH2" s="260"/>
      <c r="AI2" s="260"/>
      <c r="AJ2" s="260"/>
      <c r="AK2" s="260"/>
      <c r="AL2" s="260"/>
      <c r="AM2" s="260"/>
      <c r="AN2" s="260"/>
      <c r="AO2" s="260"/>
      <c r="AP2" s="260"/>
      <c r="AQ2" s="260"/>
      <c r="AR2" s="260"/>
      <c r="AS2" s="260"/>
      <c r="AT2" s="260"/>
      <c r="AU2" s="260"/>
      <c r="AV2" s="260"/>
      <c r="AW2" s="260"/>
      <c r="AX2" s="260"/>
      <c r="AY2" s="260"/>
      <c r="AZ2" s="260"/>
      <c r="BA2" s="260"/>
      <c r="BB2" s="260"/>
      <c r="BC2" s="260"/>
      <c r="BD2" s="260"/>
      <c r="BE2" s="260"/>
      <c r="BF2" s="260"/>
      <c r="BG2" s="260"/>
      <c r="BH2" s="260"/>
      <c r="BI2" s="260"/>
      <c r="BJ2" s="260"/>
      <c r="BK2" s="260"/>
      <c r="BL2" s="260"/>
      <c r="BM2" s="260"/>
      <c r="BN2" s="260"/>
      <c r="BO2" s="260"/>
      <c r="BP2" s="260"/>
      <c r="BQ2" s="260"/>
      <c r="BR2" s="260"/>
      <c r="BS2" s="260"/>
      <c r="BT2" s="260"/>
      <c r="BU2" s="260"/>
      <c r="BV2" s="260"/>
      <c r="BW2" s="260"/>
      <c r="BX2" s="260"/>
      <c r="BY2" s="260"/>
      <c r="BZ2" s="260"/>
      <c r="CA2" s="260"/>
      <c r="CB2" s="260"/>
      <c r="CC2" s="260"/>
      <c r="CD2" s="260"/>
      <c r="CE2" s="260"/>
      <c r="CF2" s="260"/>
      <c r="CG2" s="260"/>
      <c r="CH2" s="260"/>
      <c r="CI2" s="260"/>
      <c r="CJ2" s="260"/>
      <c r="CK2" s="260"/>
      <c r="CL2" s="260"/>
      <c r="CM2" s="260"/>
      <c r="CN2" s="260"/>
      <c r="CO2" s="260"/>
      <c r="CP2" s="260"/>
    </row>
    <row r="3" spans="1:94" x14ac:dyDescent="0.2">
      <c r="A3" s="204" t="s">
        <v>158</v>
      </c>
      <c r="B3" s="266">
        <f>'Dec2025'!B2-(COUNTIF(E2,"VL")+COUNTIF(H2:AI2,"VL"))-(COUNTIF(E2,"HDL")+COUNTIF(H2:AI2,"HDL"))*0.5</f>
        <v>9</v>
      </c>
      <c r="C3" s="275">
        <f>B3-(COUNTIF(E3:CP3, "VL") * 1) - (COUNTIF(E3:CP3, "HDL") * 0.5)</f>
        <v>5</v>
      </c>
      <c r="D3" s="275">
        <v>5</v>
      </c>
      <c r="E3" s="280" t="s">
        <v>172</v>
      </c>
      <c r="F3" s="281" t="s">
        <v>172</v>
      </c>
      <c r="G3" s="280" t="s">
        <v>172</v>
      </c>
      <c r="H3" s="280" t="s">
        <v>172</v>
      </c>
      <c r="I3" s="282"/>
      <c r="J3" s="181"/>
      <c r="K3" s="285"/>
    </row>
    <row r="4" spans="1:94" x14ac:dyDescent="0.2">
      <c r="A4" s="204" t="s">
        <v>160</v>
      </c>
      <c r="B4" s="266">
        <f>'Dec2025'!B3</f>
        <v>5.25</v>
      </c>
      <c r="C4" s="275">
        <f t="shared" ref="C4:C66" si="0">B4-(COUNTIF(E4:CP4, "VL") * 1) - (COUNTIF(E4:CP4, "HDL") * 0.5)</f>
        <v>5.25</v>
      </c>
      <c r="D4" s="275">
        <v>5</v>
      </c>
      <c r="E4" s="181"/>
      <c r="F4" s="149"/>
      <c r="G4" s="181"/>
      <c r="H4" s="181"/>
      <c r="I4" s="278"/>
      <c r="J4" s="181"/>
    </row>
    <row r="5" spans="1:94" x14ac:dyDescent="0.2">
      <c r="A5" s="204" t="s">
        <v>149</v>
      </c>
      <c r="B5" s="266">
        <f>'Dec2025'!B4</f>
        <v>5.5</v>
      </c>
      <c r="C5" s="275">
        <f t="shared" si="0"/>
        <v>4.5</v>
      </c>
      <c r="D5" s="275">
        <v>4.5</v>
      </c>
      <c r="E5" s="181" t="s">
        <v>172</v>
      </c>
      <c r="F5" s="149"/>
      <c r="G5" s="181"/>
      <c r="H5" s="181"/>
      <c r="I5" s="278"/>
      <c r="J5" s="181"/>
    </row>
    <row r="6" spans="1:94" x14ac:dyDescent="0.2">
      <c r="A6" s="204" t="s">
        <v>369</v>
      </c>
      <c r="B6" s="266">
        <f>'Dec2025'!B5</f>
        <v>5.5</v>
      </c>
      <c r="C6" s="275">
        <f t="shared" si="0"/>
        <v>4.5</v>
      </c>
      <c r="D6" s="275">
        <v>4.5</v>
      </c>
      <c r="E6" s="276" t="s">
        <v>172</v>
      </c>
      <c r="F6" s="149"/>
      <c r="G6" s="181"/>
      <c r="H6" s="181"/>
      <c r="I6" s="278"/>
      <c r="J6" s="181"/>
    </row>
    <row r="7" spans="1:94" x14ac:dyDescent="0.2">
      <c r="A7" s="204" t="s">
        <v>142</v>
      </c>
      <c r="B7" s="266">
        <f>'Dec2025'!B6</f>
        <v>5.5</v>
      </c>
      <c r="C7" s="275">
        <f t="shared" si="0"/>
        <v>5.5</v>
      </c>
      <c r="D7" s="275">
        <v>5</v>
      </c>
      <c r="E7" s="181"/>
      <c r="F7" s="149"/>
      <c r="G7" s="181"/>
      <c r="H7" s="181"/>
      <c r="I7" s="278"/>
      <c r="J7" s="181"/>
    </row>
    <row r="8" spans="1:94" x14ac:dyDescent="0.2">
      <c r="A8" s="204" t="s">
        <v>356</v>
      </c>
      <c r="B8" s="266">
        <f>'Dec2025'!B7</f>
        <v>0.5</v>
      </c>
      <c r="C8" s="275">
        <f t="shared" si="0"/>
        <v>0.5</v>
      </c>
      <c r="D8" s="275">
        <v>0.5</v>
      </c>
      <c r="E8" s="181"/>
      <c r="F8" s="149"/>
      <c r="G8" s="181"/>
      <c r="H8" s="181"/>
      <c r="I8" s="278"/>
      <c r="J8" s="181"/>
    </row>
    <row r="9" spans="1:94" x14ac:dyDescent="0.2">
      <c r="A9" s="204" t="s">
        <v>366</v>
      </c>
      <c r="B9" s="266">
        <f>'Dec2025'!B8</f>
        <v>5</v>
      </c>
      <c r="C9" s="275">
        <f t="shared" si="0"/>
        <v>4</v>
      </c>
      <c r="D9" s="275">
        <v>4</v>
      </c>
      <c r="E9" s="276" t="s">
        <v>172</v>
      </c>
      <c r="F9" s="149"/>
      <c r="G9" s="181"/>
      <c r="H9" s="181"/>
      <c r="I9" s="278"/>
      <c r="J9" s="181"/>
    </row>
    <row r="10" spans="1:94" x14ac:dyDescent="0.2">
      <c r="A10" s="204" t="s">
        <v>176</v>
      </c>
      <c r="B10" s="266">
        <f>'Dec2025'!B9</f>
        <v>4.5</v>
      </c>
      <c r="C10" s="275">
        <f t="shared" si="0"/>
        <v>3.5</v>
      </c>
      <c r="D10" s="275">
        <v>3.5</v>
      </c>
      <c r="E10" s="276" t="s">
        <v>172</v>
      </c>
      <c r="F10" s="268"/>
      <c r="G10" s="181"/>
      <c r="H10" s="181"/>
      <c r="I10" s="278"/>
      <c r="J10" s="181"/>
    </row>
    <row r="11" spans="1:94" x14ac:dyDescent="0.2">
      <c r="A11" s="204" t="s">
        <v>177</v>
      </c>
      <c r="B11" s="266">
        <f>'Dec2025'!B10</f>
        <v>6.75</v>
      </c>
      <c r="C11" s="275">
        <f t="shared" si="0"/>
        <v>0.75</v>
      </c>
      <c r="D11" s="275">
        <v>0.75</v>
      </c>
      <c r="E11" s="259" t="s">
        <v>172</v>
      </c>
      <c r="F11" s="268" t="s">
        <v>172</v>
      </c>
      <c r="G11" s="259" t="s">
        <v>172</v>
      </c>
      <c r="H11" s="259" t="s">
        <v>172</v>
      </c>
      <c r="I11" s="279" t="s">
        <v>172</v>
      </c>
      <c r="J11" s="259" t="s">
        <v>172</v>
      </c>
    </row>
    <row r="12" spans="1:94" x14ac:dyDescent="0.2">
      <c r="A12" s="261" t="s">
        <v>178</v>
      </c>
      <c r="B12" s="266">
        <f>'Dec2025'!B11</f>
        <v>0.5</v>
      </c>
      <c r="C12" s="275">
        <f t="shared" si="0"/>
        <v>0.5</v>
      </c>
      <c r="D12" s="275">
        <v>0.5</v>
      </c>
      <c r="E12" s="181"/>
      <c r="F12" s="149"/>
      <c r="G12" s="181"/>
      <c r="H12" s="181"/>
      <c r="I12" s="278"/>
      <c r="J12" s="181"/>
    </row>
    <row r="13" spans="1:94" x14ac:dyDescent="0.2">
      <c r="A13" s="204" t="s">
        <v>364</v>
      </c>
      <c r="B13" s="266">
        <f>'Dec2025'!B12</f>
        <v>4.5</v>
      </c>
      <c r="C13" s="275">
        <f t="shared" si="0"/>
        <v>4.5</v>
      </c>
      <c r="D13" s="275">
        <v>4.5</v>
      </c>
      <c r="E13" s="276" t="s">
        <v>383</v>
      </c>
      <c r="F13" s="149"/>
      <c r="G13" s="181"/>
      <c r="H13" s="181"/>
      <c r="I13" s="278"/>
      <c r="J13" s="181"/>
    </row>
    <row r="14" spans="1:94" x14ac:dyDescent="0.2">
      <c r="A14" s="204" t="s">
        <v>332</v>
      </c>
      <c r="B14" s="266">
        <f>'Dec2025'!B13</f>
        <v>0.5</v>
      </c>
      <c r="C14" s="275">
        <f t="shared" si="0"/>
        <v>0.5</v>
      </c>
      <c r="D14" s="275">
        <v>0.5</v>
      </c>
      <c r="E14" s="181"/>
      <c r="F14" s="149"/>
      <c r="G14" s="181"/>
      <c r="H14" s="181"/>
      <c r="I14" s="278"/>
      <c r="J14" s="181"/>
    </row>
    <row r="15" spans="1:94" x14ac:dyDescent="0.2">
      <c r="A15" s="204" t="s">
        <v>162</v>
      </c>
      <c r="B15" s="266">
        <f>'Dec2025'!B14</f>
        <v>13.25</v>
      </c>
      <c r="C15" s="275">
        <f t="shared" si="0"/>
        <v>12.25</v>
      </c>
      <c r="D15" s="275">
        <v>5</v>
      </c>
      <c r="E15" s="181" t="s">
        <v>172</v>
      </c>
      <c r="F15" s="149"/>
      <c r="G15" s="181"/>
      <c r="H15" s="181"/>
      <c r="I15" s="278"/>
      <c r="J15" s="181"/>
    </row>
    <row r="16" spans="1:94" x14ac:dyDescent="0.2">
      <c r="A16" s="204" t="s">
        <v>347</v>
      </c>
      <c r="B16" s="266">
        <f>'Dec2025'!B15</f>
        <v>10</v>
      </c>
      <c r="C16" s="275">
        <f t="shared" si="0"/>
        <v>8</v>
      </c>
      <c r="D16" s="275">
        <v>5</v>
      </c>
      <c r="E16" s="181" t="s">
        <v>172</v>
      </c>
      <c r="F16" s="149" t="s">
        <v>172</v>
      </c>
      <c r="G16" s="181"/>
      <c r="H16" s="181"/>
      <c r="I16" s="278"/>
      <c r="J16" s="181"/>
    </row>
    <row r="17" spans="1:19" x14ac:dyDescent="0.2">
      <c r="A17" s="204" t="s">
        <v>367</v>
      </c>
      <c r="B17" s="266">
        <f>'Dec2025'!B16</f>
        <v>4</v>
      </c>
      <c r="C17" s="275">
        <f t="shared" si="0"/>
        <v>3</v>
      </c>
      <c r="D17" s="292">
        <v>3</v>
      </c>
      <c r="E17" s="181" t="s">
        <v>172</v>
      </c>
      <c r="F17" s="268"/>
      <c r="G17" s="181"/>
      <c r="H17" s="181"/>
      <c r="I17" s="278"/>
      <c r="J17" s="181"/>
    </row>
    <row r="18" spans="1:19" x14ac:dyDescent="0.2">
      <c r="A18" s="204" t="s">
        <v>179</v>
      </c>
      <c r="B18" s="266">
        <f>'Dec2025'!B17</f>
        <v>5.5</v>
      </c>
      <c r="C18" s="293">
        <f t="shared" si="0"/>
        <v>5.5</v>
      </c>
      <c r="D18" s="275">
        <v>5</v>
      </c>
      <c r="E18" s="181"/>
      <c r="F18" s="149"/>
      <c r="G18" s="181"/>
      <c r="H18" s="181"/>
      <c r="I18" s="278"/>
      <c r="J18" s="181"/>
    </row>
    <row r="19" spans="1:19" x14ac:dyDescent="0.2">
      <c r="A19" s="204" t="s">
        <v>348</v>
      </c>
      <c r="B19" s="266">
        <f>'Dec2025'!B18</f>
        <v>3.25</v>
      </c>
      <c r="C19" s="275">
        <f t="shared" si="0"/>
        <v>1.25</v>
      </c>
      <c r="D19" s="283">
        <v>1.25</v>
      </c>
      <c r="E19" s="284" t="s">
        <v>172</v>
      </c>
      <c r="F19" s="149" t="s">
        <v>172</v>
      </c>
      <c r="G19" s="181"/>
      <c r="H19" s="181"/>
      <c r="I19" s="278"/>
      <c r="J19" s="181"/>
      <c r="R19" s="277"/>
      <c r="S19" s="277"/>
    </row>
    <row r="20" spans="1:19" x14ac:dyDescent="0.2">
      <c r="A20" s="204" t="s">
        <v>370</v>
      </c>
      <c r="B20" s="266">
        <f>'Dec2025'!B19</f>
        <v>5.5</v>
      </c>
      <c r="C20" s="275">
        <f t="shared" si="0"/>
        <v>4.5</v>
      </c>
      <c r="D20" s="275">
        <v>4.5</v>
      </c>
      <c r="E20" s="181" t="s">
        <v>172</v>
      </c>
      <c r="F20" s="268"/>
      <c r="G20" s="181"/>
      <c r="H20" s="181"/>
      <c r="I20" s="278"/>
      <c r="J20" s="181"/>
    </row>
    <row r="21" spans="1:19" x14ac:dyDescent="0.2">
      <c r="A21" s="204" t="s">
        <v>151</v>
      </c>
      <c r="B21" s="266">
        <f>'Dec2025'!B20</f>
        <v>6.25</v>
      </c>
      <c r="C21" s="275">
        <f t="shared" si="0"/>
        <v>6.25</v>
      </c>
      <c r="D21" s="275">
        <v>5</v>
      </c>
      <c r="E21" s="181"/>
      <c r="F21" s="181"/>
      <c r="G21" s="181"/>
      <c r="H21" s="181"/>
      <c r="I21" s="278"/>
      <c r="J21" s="181"/>
    </row>
    <row r="22" spans="1:19" x14ac:dyDescent="0.2">
      <c r="A22" s="204" t="s">
        <v>181</v>
      </c>
      <c r="B22" s="266">
        <f>'Dec2025'!B22</f>
        <v>1.5</v>
      </c>
      <c r="C22" s="275">
        <f t="shared" si="0"/>
        <v>1.5</v>
      </c>
      <c r="D22" s="275">
        <v>1.5</v>
      </c>
      <c r="E22" s="181"/>
      <c r="F22" s="181"/>
      <c r="G22" s="181"/>
      <c r="H22" s="181"/>
      <c r="I22" s="278"/>
      <c r="J22" s="181"/>
    </row>
    <row r="23" spans="1:19" x14ac:dyDescent="0.2">
      <c r="A23" s="204" t="s">
        <v>221</v>
      </c>
      <c r="B23" s="266">
        <f>'Dec2025'!B23</f>
        <v>5.5</v>
      </c>
      <c r="C23" s="293">
        <f t="shared" si="0"/>
        <v>5.5</v>
      </c>
      <c r="D23" s="283">
        <v>5</v>
      </c>
      <c r="E23" s="181"/>
      <c r="F23" s="181"/>
      <c r="G23" s="181"/>
      <c r="H23" s="181"/>
      <c r="I23" s="278"/>
      <c r="J23" s="181"/>
    </row>
    <row r="24" spans="1:19" x14ac:dyDescent="0.2">
      <c r="A24" s="204" t="s">
        <v>152</v>
      </c>
      <c r="B24" s="266">
        <f>'Dec2025'!B24</f>
        <v>5.125</v>
      </c>
      <c r="C24" s="275">
        <f t="shared" si="0"/>
        <v>5.125</v>
      </c>
      <c r="D24" s="275">
        <v>5</v>
      </c>
      <c r="E24" s="181"/>
      <c r="F24" s="181"/>
      <c r="G24" s="181"/>
      <c r="H24" s="181"/>
      <c r="I24" s="278"/>
      <c r="J24" s="181"/>
    </row>
    <row r="25" spans="1:19" x14ac:dyDescent="0.2">
      <c r="A25" s="204" t="s">
        <v>170</v>
      </c>
      <c r="B25" s="266">
        <f>'Dec2025'!B25</f>
        <v>3</v>
      </c>
      <c r="C25" s="275">
        <f t="shared" si="0"/>
        <v>3</v>
      </c>
      <c r="D25" s="292">
        <v>3</v>
      </c>
      <c r="E25" s="181"/>
      <c r="F25" s="181"/>
      <c r="G25" s="181"/>
      <c r="H25" s="181"/>
      <c r="I25" s="278"/>
      <c r="J25" s="181"/>
    </row>
    <row r="26" spans="1:19" x14ac:dyDescent="0.2">
      <c r="A26" s="262" t="s">
        <v>371</v>
      </c>
      <c r="B26" s="266">
        <f>'Dec2025'!B26</f>
        <v>4.5</v>
      </c>
      <c r="C26" s="275">
        <f t="shared" si="0"/>
        <v>4.5</v>
      </c>
      <c r="D26" s="275">
        <v>4.5</v>
      </c>
      <c r="E26" s="181"/>
      <c r="F26" s="181"/>
      <c r="G26" s="181"/>
      <c r="H26" s="181"/>
      <c r="I26" s="278"/>
      <c r="J26" s="181"/>
    </row>
    <row r="27" spans="1:19" x14ac:dyDescent="0.2">
      <c r="A27" s="263" t="s">
        <v>334</v>
      </c>
      <c r="B27" s="266">
        <f>'Dec2025'!B27</f>
        <v>9.5</v>
      </c>
      <c r="C27" s="275">
        <f t="shared" si="0"/>
        <v>8.5</v>
      </c>
      <c r="D27" s="275">
        <v>5</v>
      </c>
      <c r="E27" s="181" t="s">
        <v>172</v>
      </c>
      <c r="F27" s="181"/>
      <c r="G27" s="181"/>
      <c r="H27" s="269"/>
      <c r="I27" s="278"/>
      <c r="J27" s="181"/>
    </row>
    <row r="28" spans="1:19" x14ac:dyDescent="0.2">
      <c r="A28" s="262" t="s">
        <v>372</v>
      </c>
      <c r="B28" s="266">
        <f>'Dec2025'!B28</f>
        <v>4.25</v>
      </c>
      <c r="C28" s="275">
        <f t="shared" si="0"/>
        <v>4.25</v>
      </c>
      <c r="D28" s="292">
        <v>4.25</v>
      </c>
      <c r="E28" s="181"/>
      <c r="F28" s="181"/>
      <c r="G28" s="181"/>
      <c r="H28" s="181"/>
      <c r="I28" s="278"/>
      <c r="J28" s="181"/>
    </row>
    <row r="29" spans="1:19" x14ac:dyDescent="0.2">
      <c r="A29" s="204" t="s">
        <v>145</v>
      </c>
      <c r="B29" s="266">
        <f>'Dec2025'!B29</f>
        <v>0.75</v>
      </c>
      <c r="C29" s="275">
        <f t="shared" si="0"/>
        <v>0.75</v>
      </c>
      <c r="D29" s="292">
        <v>0.75</v>
      </c>
      <c r="E29" s="181"/>
      <c r="F29" s="181"/>
      <c r="G29" s="181"/>
      <c r="H29" s="181"/>
      <c r="I29" s="278"/>
      <c r="J29" s="181"/>
    </row>
    <row r="30" spans="1:19" x14ac:dyDescent="0.2">
      <c r="A30" s="204" t="s">
        <v>357</v>
      </c>
      <c r="B30" s="266">
        <f>'Dec2025'!B30</f>
        <v>8.5</v>
      </c>
      <c r="C30" s="275">
        <f t="shared" si="0"/>
        <v>3.5</v>
      </c>
      <c r="D30" s="275">
        <v>3.5</v>
      </c>
      <c r="E30" s="181" t="s">
        <v>172</v>
      </c>
      <c r="F30" s="181" t="s">
        <v>172</v>
      </c>
      <c r="G30" s="181" t="s">
        <v>172</v>
      </c>
      <c r="H30" s="181" t="s">
        <v>172</v>
      </c>
      <c r="I30" s="278" t="s">
        <v>172</v>
      </c>
      <c r="J30" s="181"/>
    </row>
    <row r="31" spans="1:19" x14ac:dyDescent="0.2">
      <c r="A31" s="204" t="s">
        <v>349</v>
      </c>
      <c r="B31" s="266">
        <f>'Dec2025'!B31</f>
        <v>6.25</v>
      </c>
      <c r="C31" s="292">
        <f t="shared" si="0"/>
        <v>6.25</v>
      </c>
      <c r="D31" s="283">
        <v>6.25</v>
      </c>
      <c r="E31" s="181"/>
      <c r="F31" s="181"/>
      <c r="G31" s="181"/>
      <c r="H31" s="181"/>
      <c r="I31" s="278"/>
      <c r="J31" s="181"/>
    </row>
    <row r="32" spans="1:19" x14ac:dyDescent="0.2">
      <c r="A32" s="204" t="s">
        <v>150</v>
      </c>
      <c r="B32" s="266">
        <f>'Dec2025'!B32</f>
        <v>5.25</v>
      </c>
      <c r="C32" s="275">
        <f t="shared" si="0"/>
        <v>5.25</v>
      </c>
      <c r="D32" s="275">
        <v>5</v>
      </c>
      <c r="E32" s="181"/>
      <c r="F32" s="181"/>
      <c r="G32" s="181"/>
      <c r="H32" s="181"/>
      <c r="I32" s="278"/>
      <c r="J32" s="181"/>
    </row>
    <row r="33" spans="1:13" x14ac:dyDescent="0.2">
      <c r="A33" s="204" t="s">
        <v>168</v>
      </c>
      <c r="B33" s="266">
        <f>'Dec2025'!B34</f>
        <v>2</v>
      </c>
      <c r="C33" s="275">
        <f t="shared" si="0"/>
        <v>2</v>
      </c>
      <c r="D33" s="275">
        <v>2</v>
      </c>
      <c r="E33" s="181"/>
      <c r="F33" s="181"/>
      <c r="G33" s="181"/>
      <c r="H33" s="181"/>
      <c r="I33" s="278"/>
      <c r="J33" s="181"/>
    </row>
    <row r="34" spans="1:13" x14ac:dyDescent="0.2">
      <c r="A34" s="204" t="s">
        <v>156</v>
      </c>
      <c r="B34" s="266">
        <f>'Dec2025'!B35</f>
        <v>0.75</v>
      </c>
      <c r="C34" s="275">
        <f t="shared" si="0"/>
        <v>0.75</v>
      </c>
      <c r="D34" s="292">
        <v>0.75</v>
      </c>
      <c r="E34" s="181"/>
      <c r="F34" s="181"/>
      <c r="G34" s="181"/>
      <c r="H34" s="181"/>
      <c r="I34" s="278"/>
      <c r="J34" s="181"/>
    </row>
    <row r="35" spans="1:13" x14ac:dyDescent="0.2">
      <c r="A35" s="204" t="s">
        <v>183</v>
      </c>
      <c r="B35" s="266">
        <f>'Dec2025'!B36</f>
        <v>2</v>
      </c>
      <c r="C35" s="275">
        <f t="shared" si="0"/>
        <v>1</v>
      </c>
      <c r="D35" s="275">
        <v>1</v>
      </c>
      <c r="E35" s="181" t="s">
        <v>172</v>
      </c>
      <c r="F35" s="259"/>
      <c r="G35" s="181"/>
      <c r="H35" s="181"/>
      <c r="I35" s="278"/>
      <c r="J35" s="181"/>
    </row>
    <row r="36" spans="1:13" x14ac:dyDescent="0.2">
      <c r="A36" s="204" t="s">
        <v>373</v>
      </c>
      <c r="B36" s="266">
        <f>'Dec2025'!B37</f>
        <v>7.5</v>
      </c>
      <c r="C36" s="275">
        <f t="shared" si="0"/>
        <v>7.5</v>
      </c>
      <c r="D36" s="275">
        <v>5</v>
      </c>
      <c r="E36" s="181"/>
      <c r="F36" s="181"/>
      <c r="G36" s="181"/>
      <c r="H36" s="181"/>
      <c r="I36" s="278"/>
      <c r="J36" s="181"/>
    </row>
    <row r="37" spans="1:13" x14ac:dyDescent="0.2">
      <c r="A37" s="204" t="s">
        <v>350</v>
      </c>
      <c r="B37" s="266">
        <f>'Dec2025'!B38</f>
        <v>2.25</v>
      </c>
      <c r="C37" s="275">
        <f t="shared" si="0"/>
        <v>2.25</v>
      </c>
      <c r="D37" s="275">
        <v>2.25</v>
      </c>
      <c r="E37" s="181"/>
      <c r="F37" s="181"/>
      <c r="G37" s="181"/>
      <c r="H37" s="181"/>
      <c r="I37" s="278"/>
      <c r="J37" s="181"/>
    </row>
    <row r="38" spans="1:13" x14ac:dyDescent="0.2">
      <c r="A38" s="204" t="s">
        <v>146</v>
      </c>
      <c r="B38" s="266">
        <f>'Dec2025'!B39</f>
        <v>0.5</v>
      </c>
      <c r="C38" s="275">
        <f t="shared" si="0"/>
        <v>0.5</v>
      </c>
      <c r="D38" s="275">
        <v>0.5</v>
      </c>
      <c r="E38" s="181"/>
      <c r="F38" s="181"/>
      <c r="G38" s="181"/>
      <c r="H38" s="181"/>
      <c r="I38" s="278"/>
      <c r="J38" s="181"/>
    </row>
    <row r="39" spans="1:13" x14ac:dyDescent="0.2">
      <c r="A39" s="204" t="s">
        <v>184</v>
      </c>
      <c r="B39" s="266">
        <f>'Dec2025'!B40</f>
        <v>2.5</v>
      </c>
      <c r="C39" s="275">
        <f t="shared" si="0"/>
        <v>2.5</v>
      </c>
      <c r="D39" s="275">
        <v>2.5</v>
      </c>
      <c r="E39" s="181"/>
      <c r="F39" s="181"/>
      <c r="G39" s="181"/>
      <c r="H39" s="181"/>
      <c r="I39" s="278"/>
      <c r="J39" s="181"/>
    </row>
    <row r="40" spans="1:13" x14ac:dyDescent="0.2">
      <c r="A40" s="262" t="s">
        <v>351</v>
      </c>
      <c r="B40" s="266">
        <f>'Dec2025'!B41</f>
        <v>9.25</v>
      </c>
      <c r="C40" s="275">
        <f t="shared" si="0"/>
        <v>8.25</v>
      </c>
      <c r="D40" s="275">
        <v>5</v>
      </c>
      <c r="E40" s="181" t="s">
        <v>172</v>
      </c>
      <c r="F40" s="259"/>
      <c r="G40" s="181"/>
      <c r="H40" s="181"/>
      <c r="I40" s="278"/>
      <c r="J40" s="181"/>
    </row>
    <row r="41" spans="1:13" x14ac:dyDescent="0.2">
      <c r="A41" s="263" t="s">
        <v>335</v>
      </c>
      <c r="B41" s="266">
        <f>'Dec2025'!B42</f>
        <v>4.5</v>
      </c>
      <c r="C41" s="275">
        <f t="shared" si="0"/>
        <v>4.5</v>
      </c>
      <c r="D41" s="283">
        <v>4.5</v>
      </c>
      <c r="E41" s="181"/>
      <c r="F41" s="181"/>
      <c r="G41" s="181"/>
      <c r="H41" s="181"/>
      <c r="I41" s="278"/>
      <c r="J41" s="181"/>
    </row>
    <row r="42" spans="1:13" x14ac:dyDescent="0.2">
      <c r="A42" s="263" t="s">
        <v>336</v>
      </c>
      <c r="B42" s="266">
        <f>'Dec2025'!B43</f>
        <v>9.5</v>
      </c>
      <c r="C42" s="275">
        <f t="shared" si="0"/>
        <v>8.5</v>
      </c>
      <c r="D42" s="275">
        <v>5</v>
      </c>
      <c r="E42" s="259" t="s">
        <v>172</v>
      </c>
      <c r="F42" s="259"/>
      <c r="G42" s="259"/>
      <c r="H42" s="181"/>
      <c r="I42" s="278"/>
      <c r="J42" s="181"/>
    </row>
    <row r="43" spans="1:13" x14ac:dyDescent="0.2">
      <c r="A43" s="204" t="s">
        <v>157</v>
      </c>
      <c r="B43" s="266">
        <f>'Dec2025'!B44</f>
        <v>2.75</v>
      </c>
      <c r="C43" s="275">
        <f t="shared" si="0"/>
        <v>2.75</v>
      </c>
      <c r="D43" s="275">
        <v>2.75</v>
      </c>
      <c r="E43" s="181"/>
      <c r="F43" s="181"/>
      <c r="G43" s="181"/>
      <c r="H43" s="181"/>
      <c r="I43" s="278"/>
      <c r="J43" s="181"/>
    </row>
    <row r="44" spans="1:13" x14ac:dyDescent="0.2">
      <c r="A44" s="204" t="s">
        <v>161</v>
      </c>
      <c r="B44" s="266">
        <f>'Dec2025'!B45</f>
        <v>1.5</v>
      </c>
      <c r="C44" s="275">
        <f t="shared" si="0"/>
        <v>1.5</v>
      </c>
      <c r="D44" s="275">
        <v>1.5</v>
      </c>
      <c r="E44" s="181"/>
      <c r="F44" s="181"/>
      <c r="G44" s="181"/>
      <c r="H44" s="181"/>
      <c r="I44" s="278"/>
      <c r="J44" s="181"/>
    </row>
    <row r="45" spans="1:13" x14ac:dyDescent="0.2">
      <c r="A45" s="215" t="s">
        <v>338</v>
      </c>
      <c r="B45" s="266">
        <f>'Dec2025'!B46</f>
        <v>7.5</v>
      </c>
      <c r="C45" s="293">
        <f t="shared" si="0"/>
        <v>7.5</v>
      </c>
      <c r="D45" s="275">
        <v>5</v>
      </c>
      <c r="E45" s="181"/>
      <c r="F45" s="269"/>
      <c r="G45" s="181"/>
      <c r="H45" s="181"/>
      <c r="I45" s="279" t="s">
        <v>173</v>
      </c>
      <c r="J45" s="181"/>
    </row>
    <row r="46" spans="1:13" ht="10.5" customHeight="1" x14ac:dyDescent="0.2">
      <c r="A46" s="204" t="s">
        <v>358</v>
      </c>
      <c r="B46" s="266">
        <f>'Dec2025'!B47</f>
        <v>7.5</v>
      </c>
      <c r="C46" s="275">
        <f t="shared" si="0"/>
        <v>1.5</v>
      </c>
      <c r="D46" s="283">
        <v>1.5</v>
      </c>
      <c r="E46" s="259" t="s">
        <v>172</v>
      </c>
      <c r="F46" s="259" t="s">
        <v>172</v>
      </c>
      <c r="G46" s="259" t="s">
        <v>172</v>
      </c>
      <c r="H46" s="259" t="s">
        <v>172</v>
      </c>
      <c r="I46" s="279" t="s">
        <v>172</v>
      </c>
      <c r="J46" s="259" t="s">
        <v>172</v>
      </c>
      <c r="K46" s="258"/>
      <c r="L46" s="258"/>
      <c r="M46" s="258"/>
    </row>
    <row r="47" spans="1:13" x14ac:dyDescent="0.2">
      <c r="A47" s="204" t="s">
        <v>167</v>
      </c>
      <c r="B47" s="266">
        <f>'Dec2025'!B48</f>
        <v>6.25</v>
      </c>
      <c r="C47" s="275">
        <f t="shared" si="0"/>
        <v>4.25</v>
      </c>
      <c r="D47" s="292">
        <v>4.25</v>
      </c>
      <c r="E47" s="181" t="s">
        <v>172</v>
      </c>
      <c r="F47" s="259" t="s">
        <v>172</v>
      </c>
      <c r="G47" s="259"/>
      <c r="H47" s="259"/>
      <c r="I47" s="279"/>
      <c r="J47" s="259"/>
      <c r="K47" s="258"/>
      <c r="L47" s="258"/>
      <c r="M47" s="258"/>
    </row>
    <row r="48" spans="1:13" x14ac:dyDescent="0.2">
      <c r="A48" s="215" t="s">
        <v>353</v>
      </c>
      <c r="B48" s="266">
        <f>'Dec2025'!B49</f>
        <v>6.25</v>
      </c>
      <c r="C48" s="293">
        <f t="shared" si="0"/>
        <v>6.25</v>
      </c>
      <c r="D48" s="275">
        <v>5</v>
      </c>
      <c r="E48" s="181"/>
      <c r="F48" s="259"/>
      <c r="G48" s="259"/>
      <c r="H48" s="259"/>
      <c r="I48" s="279"/>
      <c r="J48" s="259"/>
      <c r="K48" s="258"/>
      <c r="L48" s="258"/>
      <c r="M48" s="258"/>
    </row>
    <row r="49" spans="1:18" x14ac:dyDescent="0.2">
      <c r="A49" s="204" t="s">
        <v>159</v>
      </c>
      <c r="B49" s="266">
        <f>'Dec2025'!B50</f>
        <v>5</v>
      </c>
      <c r="C49" s="275">
        <f t="shared" si="0"/>
        <v>0</v>
      </c>
      <c r="D49" s="275">
        <v>0</v>
      </c>
      <c r="E49" s="259" t="s">
        <v>172</v>
      </c>
      <c r="F49" s="259" t="s">
        <v>172</v>
      </c>
      <c r="G49" s="259" t="s">
        <v>172</v>
      </c>
      <c r="H49" s="259" t="s">
        <v>172</v>
      </c>
      <c r="I49" s="279" t="s">
        <v>172</v>
      </c>
      <c r="J49" s="259"/>
      <c r="K49" s="258"/>
      <c r="L49" s="258"/>
      <c r="M49" s="258"/>
      <c r="O49" s="258"/>
      <c r="P49" s="258"/>
      <c r="Q49" s="258"/>
      <c r="R49" s="258"/>
    </row>
    <row r="50" spans="1:18" x14ac:dyDescent="0.2">
      <c r="A50" s="215" t="s">
        <v>223</v>
      </c>
      <c r="B50" s="266">
        <f>'Dec2025'!B51</f>
        <v>7.5</v>
      </c>
      <c r="C50" s="293">
        <f t="shared" si="0"/>
        <v>7.5</v>
      </c>
      <c r="D50" s="283">
        <v>5</v>
      </c>
      <c r="E50" s="181"/>
      <c r="F50" s="259"/>
      <c r="G50" s="259"/>
      <c r="H50" s="259"/>
      <c r="I50" s="279"/>
      <c r="J50" s="259"/>
      <c r="K50" s="258"/>
      <c r="L50" s="258"/>
      <c r="M50" s="258"/>
    </row>
    <row r="51" spans="1:18" x14ac:dyDescent="0.2">
      <c r="A51" s="204" t="s">
        <v>359</v>
      </c>
      <c r="B51" s="266">
        <f>'Dec2025'!B52</f>
        <v>6.5</v>
      </c>
      <c r="C51" s="275">
        <f t="shared" si="0"/>
        <v>4.5</v>
      </c>
      <c r="D51" s="275">
        <v>4.5</v>
      </c>
      <c r="E51" s="259" t="s">
        <v>172</v>
      </c>
      <c r="F51" s="259" t="s">
        <v>172</v>
      </c>
      <c r="G51" s="259"/>
      <c r="H51" s="259"/>
      <c r="I51" s="279"/>
      <c r="J51" s="259"/>
      <c r="K51" s="258"/>
      <c r="L51" s="258"/>
      <c r="M51" s="258"/>
    </row>
    <row r="52" spans="1:18" x14ac:dyDescent="0.2">
      <c r="A52" s="204" t="s">
        <v>185</v>
      </c>
      <c r="B52" s="266">
        <f>'Dec2025'!B53</f>
        <v>2.5</v>
      </c>
      <c r="C52" s="275">
        <f t="shared" si="0"/>
        <v>2.5</v>
      </c>
      <c r="D52" s="275">
        <v>1.5</v>
      </c>
      <c r="E52" s="181"/>
      <c r="F52" s="181"/>
      <c r="G52" s="181"/>
      <c r="H52" s="181"/>
      <c r="I52" s="278"/>
      <c r="J52" s="181"/>
    </row>
    <row r="53" spans="1:18" x14ac:dyDescent="0.2">
      <c r="A53" s="204" t="s">
        <v>360</v>
      </c>
      <c r="B53" s="266">
        <f>'Dec2025'!B54</f>
        <v>3.5</v>
      </c>
      <c r="C53" s="275">
        <f t="shared" si="0"/>
        <v>3.5</v>
      </c>
      <c r="D53" s="275">
        <v>3.5</v>
      </c>
      <c r="E53" s="181"/>
      <c r="F53" s="181"/>
      <c r="G53" s="181"/>
      <c r="H53" s="181"/>
      <c r="I53" s="278"/>
      <c r="J53" s="181"/>
    </row>
    <row r="54" spans="1:18" x14ac:dyDescent="0.2">
      <c r="A54" s="204" t="s">
        <v>148</v>
      </c>
      <c r="B54" s="266">
        <f>'Dec2025'!B55</f>
        <v>3.5</v>
      </c>
      <c r="C54" s="275">
        <f t="shared" si="0"/>
        <v>2.5</v>
      </c>
      <c r="D54" s="275">
        <v>2.5</v>
      </c>
      <c r="E54" s="259" t="s">
        <v>172</v>
      </c>
      <c r="F54" s="259"/>
      <c r="G54" s="181"/>
      <c r="H54" s="181"/>
      <c r="I54" s="278"/>
      <c r="J54" s="181"/>
    </row>
    <row r="55" spans="1:18" x14ac:dyDescent="0.2">
      <c r="A55" s="204" t="s">
        <v>186</v>
      </c>
      <c r="B55" s="266">
        <f>'Dec2025'!B57</f>
        <v>12.5</v>
      </c>
      <c r="C55" s="275">
        <f t="shared" si="0"/>
        <v>11.5</v>
      </c>
      <c r="D55" s="275">
        <v>5</v>
      </c>
      <c r="E55" s="181" t="s">
        <v>172</v>
      </c>
      <c r="F55" s="181"/>
      <c r="G55" s="181"/>
      <c r="H55" s="181"/>
      <c r="I55" s="278"/>
      <c r="J55" s="181"/>
    </row>
    <row r="56" spans="1:18" x14ac:dyDescent="0.2">
      <c r="A56" s="204" t="s">
        <v>368</v>
      </c>
      <c r="B56" s="266">
        <f>'Dec2025'!B58</f>
        <v>1.5</v>
      </c>
      <c r="C56" s="275">
        <f t="shared" si="0"/>
        <v>1.5</v>
      </c>
      <c r="D56" s="275">
        <v>1.5</v>
      </c>
      <c r="E56" s="181"/>
      <c r="F56" s="181"/>
      <c r="G56" s="181"/>
      <c r="H56" s="181"/>
      <c r="I56" s="278"/>
      <c r="J56" s="181"/>
    </row>
    <row r="57" spans="1:18" x14ac:dyDescent="0.2">
      <c r="A57" s="204" t="s">
        <v>188</v>
      </c>
      <c r="B57" s="266">
        <f>'Dec2025'!B59</f>
        <v>1</v>
      </c>
      <c r="C57" s="275">
        <f t="shared" si="0"/>
        <v>1</v>
      </c>
      <c r="D57" s="275">
        <v>1</v>
      </c>
      <c r="E57" s="181"/>
      <c r="F57" s="181"/>
      <c r="G57" s="181"/>
      <c r="H57" s="181"/>
      <c r="I57" s="278"/>
      <c r="J57" s="181"/>
    </row>
    <row r="58" spans="1:18" x14ac:dyDescent="0.2">
      <c r="A58" s="204" t="s">
        <v>187</v>
      </c>
      <c r="B58" s="266">
        <f>'Dec2025'!B60</f>
        <v>2.25</v>
      </c>
      <c r="C58" s="275">
        <f t="shared" si="0"/>
        <v>2.25</v>
      </c>
      <c r="D58" s="275">
        <v>2.25</v>
      </c>
      <c r="E58" s="181"/>
      <c r="F58" s="173"/>
      <c r="G58" s="181"/>
      <c r="H58" s="181"/>
      <c r="I58" s="278"/>
      <c r="J58" s="181"/>
    </row>
    <row r="59" spans="1:18" x14ac:dyDescent="0.2">
      <c r="A59" s="204" t="s">
        <v>219</v>
      </c>
      <c r="B59" s="266">
        <f>'Dec2025'!B61</f>
        <v>12.75</v>
      </c>
      <c r="C59" s="275">
        <f t="shared" si="0"/>
        <v>11.75</v>
      </c>
      <c r="D59" s="275">
        <v>5</v>
      </c>
      <c r="E59" s="181" t="s">
        <v>172</v>
      </c>
      <c r="F59" s="181"/>
      <c r="G59" s="181"/>
      <c r="H59" s="181"/>
      <c r="I59" s="278"/>
      <c r="J59" s="181"/>
    </row>
    <row r="60" spans="1:18" ht="12.75" customHeight="1" x14ac:dyDescent="0.2">
      <c r="A60" s="204" t="s">
        <v>362</v>
      </c>
      <c r="B60" s="266">
        <f>'Dec2025'!B62</f>
        <v>7.5</v>
      </c>
      <c r="C60" s="275">
        <f t="shared" si="0"/>
        <v>4.5</v>
      </c>
      <c r="D60" s="292">
        <v>4.5</v>
      </c>
      <c r="E60" s="181" t="s">
        <v>172</v>
      </c>
      <c r="F60" s="181" t="s">
        <v>172</v>
      </c>
      <c r="G60" s="181" t="s">
        <v>172</v>
      </c>
      <c r="H60" s="181"/>
      <c r="I60" s="278"/>
      <c r="J60" s="181"/>
    </row>
    <row r="61" spans="1:18" x14ac:dyDescent="0.2">
      <c r="A61" s="204" t="s">
        <v>154</v>
      </c>
      <c r="B61" s="266">
        <f>'Dec2025'!B63</f>
        <v>3.5</v>
      </c>
      <c r="C61" s="275">
        <f t="shared" si="0"/>
        <v>3.5</v>
      </c>
      <c r="D61" s="275">
        <v>3.5</v>
      </c>
      <c r="E61" s="181"/>
      <c r="F61" s="181"/>
      <c r="G61" s="181"/>
      <c r="H61" s="181"/>
      <c r="I61" s="278"/>
      <c r="J61" s="181"/>
    </row>
    <row r="62" spans="1:18" x14ac:dyDescent="0.2">
      <c r="A62" s="204" t="s">
        <v>189</v>
      </c>
      <c r="B62" s="266">
        <f>'Dec2025'!B64</f>
        <v>5.5</v>
      </c>
      <c r="C62" s="275">
        <f t="shared" si="0"/>
        <v>4.5</v>
      </c>
      <c r="D62" s="275">
        <v>4.5</v>
      </c>
      <c r="E62" s="269" t="s">
        <v>172</v>
      </c>
      <c r="F62" s="269"/>
      <c r="G62" s="181"/>
      <c r="H62" s="181"/>
      <c r="I62" s="278"/>
      <c r="J62" s="181"/>
    </row>
    <row r="63" spans="1:18" x14ac:dyDescent="0.2">
      <c r="A63" s="204" t="s">
        <v>354</v>
      </c>
      <c r="B63" s="266">
        <f>'Dec2025'!B65</f>
        <v>3.25</v>
      </c>
      <c r="C63" s="275">
        <f t="shared" si="0"/>
        <v>3.25</v>
      </c>
      <c r="D63" s="283">
        <v>3.25</v>
      </c>
      <c r="E63" s="181"/>
      <c r="F63" s="181"/>
      <c r="G63" s="181"/>
      <c r="H63" s="181"/>
      <c r="I63" s="278"/>
      <c r="J63" s="181"/>
    </row>
    <row r="64" spans="1:18" x14ac:dyDescent="0.2">
      <c r="A64" s="204" t="s">
        <v>363</v>
      </c>
      <c r="B64" s="266">
        <f>'Dec2025'!B66</f>
        <v>6.75</v>
      </c>
      <c r="C64" s="275">
        <f t="shared" si="0"/>
        <v>5.75</v>
      </c>
      <c r="D64" s="275">
        <v>5</v>
      </c>
      <c r="E64" s="181" t="s">
        <v>172</v>
      </c>
      <c r="F64" s="181"/>
      <c r="G64" s="181"/>
      <c r="H64" s="181"/>
      <c r="I64" s="278"/>
      <c r="J64" s="181"/>
    </row>
    <row r="65" spans="1:10" x14ac:dyDescent="0.2">
      <c r="A65" s="204" t="s">
        <v>155</v>
      </c>
      <c r="B65" s="266">
        <f>'Dec2025'!B67</f>
        <v>3.25</v>
      </c>
      <c r="C65" s="275">
        <f t="shared" si="0"/>
        <v>1.25</v>
      </c>
      <c r="D65" s="275">
        <v>1.25</v>
      </c>
      <c r="E65" s="269" t="s">
        <v>172</v>
      </c>
      <c r="F65" s="269" t="s">
        <v>172</v>
      </c>
      <c r="G65" s="181"/>
      <c r="H65" s="181"/>
      <c r="I65" s="278"/>
      <c r="J65" s="181"/>
    </row>
    <row r="66" spans="1:10" x14ac:dyDescent="0.2">
      <c r="A66" s="204" t="s">
        <v>374</v>
      </c>
      <c r="B66" s="266">
        <f>'Dec2025'!B68</f>
        <v>0</v>
      </c>
      <c r="C66" s="275">
        <f t="shared" si="0"/>
        <v>0</v>
      </c>
      <c r="D66" s="275">
        <v>0</v>
      </c>
      <c r="E66" s="181"/>
      <c r="F66" s="181"/>
      <c r="G66" s="181"/>
      <c r="H66" s="181"/>
      <c r="I66" s="278"/>
      <c r="J66" s="181"/>
    </row>
    <row r="67" spans="1:10" x14ac:dyDescent="0.2">
      <c r="A67" s="204" t="s">
        <v>224</v>
      </c>
      <c r="B67" s="266">
        <f>'Dec2025'!B69</f>
        <v>12</v>
      </c>
      <c r="C67" s="275">
        <f t="shared" ref="C67:C69" si="1">B67-(COUNTIF(E67:CP67, "VL") * 1) - (COUNTIF(E67:CP67, "HDL") * 0.5)</f>
        <v>12</v>
      </c>
      <c r="D67" s="275">
        <v>5</v>
      </c>
      <c r="E67" s="181"/>
      <c r="F67" s="181"/>
      <c r="G67" s="181"/>
      <c r="H67" s="181"/>
      <c r="I67" s="278"/>
      <c r="J67" s="181"/>
    </row>
    <row r="68" spans="1:10" x14ac:dyDescent="0.2">
      <c r="A68" s="254" t="s">
        <v>166</v>
      </c>
      <c r="B68" s="266">
        <f>'Dec2025'!B70</f>
        <v>3.75</v>
      </c>
      <c r="C68" s="275">
        <f t="shared" si="1"/>
        <v>3.75</v>
      </c>
      <c r="D68" s="275">
        <v>3.75</v>
      </c>
      <c r="E68" s="181"/>
      <c r="F68" s="181"/>
      <c r="G68" s="181"/>
      <c r="H68" s="181"/>
      <c r="I68" s="278"/>
      <c r="J68" s="181"/>
    </row>
    <row r="69" spans="1:10" x14ac:dyDescent="0.2">
      <c r="A69" s="211" t="s">
        <v>375</v>
      </c>
      <c r="B69" s="266">
        <f>'Dec2025'!B71</f>
        <v>0.25</v>
      </c>
      <c r="C69" s="275">
        <f t="shared" si="1"/>
        <v>0.25</v>
      </c>
      <c r="D69" s="275">
        <v>0.25</v>
      </c>
      <c r="E69" s="181"/>
      <c r="F69" s="181"/>
      <c r="G69" s="181"/>
      <c r="H69" s="181"/>
      <c r="I69" s="278"/>
      <c r="J69" s="181"/>
    </row>
    <row r="71" spans="1:10" x14ac:dyDescent="0.2">
      <c r="A71" t="s">
        <v>376</v>
      </c>
      <c r="F71" s="258" t="s">
        <v>172</v>
      </c>
      <c r="G71" s="258"/>
      <c r="H71" s="258"/>
      <c r="I71" s="258"/>
      <c r="J71" s="258"/>
    </row>
    <row r="72" spans="1:10" x14ac:dyDescent="0.2">
      <c r="A72" t="s">
        <v>377</v>
      </c>
      <c r="F72" s="258" t="s">
        <v>217</v>
      </c>
      <c r="G72" s="258"/>
      <c r="H72" s="258"/>
      <c r="I72" s="258"/>
      <c r="J72" s="258"/>
    </row>
    <row r="73" spans="1:10" x14ac:dyDescent="0.2">
      <c r="A73" t="s">
        <v>378</v>
      </c>
      <c r="F73" s="258" t="s">
        <v>172</v>
      </c>
      <c r="G73" s="258"/>
      <c r="H73" s="258"/>
      <c r="I73" s="258" t="s">
        <v>172</v>
      </c>
      <c r="J73" s="258"/>
    </row>
    <row r="74" spans="1:10" x14ac:dyDescent="0.2">
      <c r="A74" t="s">
        <v>384</v>
      </c>
      <c r="F74" s="258"/>
      <c r="G74" s="258"/>
      <c r="H74" s="258"/>
      <c r="I74" s="258" t="s">
        <v>172</v>
      </c>
      <c r="J74" s="258" t="s">
        <v>172</v>
      </c>
    </row>
    <row r="75" spans="1:10" x14ac:dyDescent="0.2">
      <c r="A75" t="s">
        <v>385</v>
      </c>
      <c r="F75" t="s">
        <v>217</v>
      </c>
      <c r="I75" t="s">
        <v>217</v>
      </c>
      <c r="J75" t="s">
        <v>217</v>
      </c>
    </row>
    <row r="76" spans="1:10" x14ac:dyDescent="0.2">
      <c r="A76" t="s">
        <v>386</v>
      </c>
    </row>
    <row r="77" spans="1:10" x14ac:dyDescent="0.2">
      <c r="A77" t="s">
        <v>387</v>
      </c>
    </row>
    <row r="78" spans="1:10" x14ac:dyDescent="0.2">
      <c r="A78" t="s">
        <v>388</v>
      </c>
    </row>
    <row r="79" spans="1:10" x14ac:dyDescent="0.2">
      <c r="A79" t="s">
        <v>389</v>
      </c>
    </row>
    <row r="80" spans="1:10" x14ac:dyDescent="0.2">
      <c r="A80" t="s">
        <v>390</v>
      </c>
    </row>
    <row r="81" spans="1:1" x14ac:dyDescent="0.2">
      <c r="A81" t="s">
        <v>391</v>
      </c>
    </row>
    <row r="82" spans="1:1" x14ac:dyDescent="0.2">
      <c r="A82" t="s">
        <v>392</v>
      </c>
    </row>
  </sheetData>
  <mergeCells count="1">
    <mergeCell ref="E2:J2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A0A4-5D1F-4C6E-81B3-DBDA5FB3AC39}">
  <dimension ref="A1:AI75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A58" sqref="A58"/>
    </sheetView>
  </sheetViews>
  <sheetFormatPr defaultRowHeight="12" x14ac:dyDescent="0.2"/>
  <cols>
    <col min="1" max="1" width="39.6640625" customWidth="1"/>
    <col min="2" max="2" width="12.5" customWidth="1"/>
  </cols>
  <sheetData>
    <row r="1" spans="1:35" x14ac:dyDescent="0.2">
      <c r="A1" s="259" t="s">
        <v>393</v>
      </c>
      <c r="B1" s="287" t="s">
        <v>172</v>
      </c>
      <c r="C1" s="286" t="s">
        <v>173</v>
      </c>
      <c r="D1" s="288" t="s">
        <v>174</v>
      </c>
      <c r="E1" s="260">
        <v>45658</v>
      </c>
      <c r="F1" s="260">
        <v>45659</v>
      </c>
      <c r="G1" s="260">
        <v>45660</v>
      </c>
      <c r="H1" s="260">
        <v>45661</v>
      </c>
      <c r="I1" s="260">
        <v>45662</v>
      </c>
      <c r="J1" s="260">
        <v>45663</v>
      </c>
      <c r="K1" s="260">
        <v>45664</v>
      </c>
      <c r="L1" s="260">
        <v>45665</v>
      </c>
      <c r="M1" s="260">
        <v>45666</v>
      </c>
      <c r="N1" s="260">
        <v>45667</v>
      </c>
      <c r="O1" s="260">
        <v>45668</v>
      </c>
      <c r="P1" s="260">
        <v>45669</v>
      </c>
      <c r="Q1" s="260">
        <v>45670</v>
      </c>
      <c r="R1" s="260">
        <v>45671</v>
      </c>
      <c r="S1" s="260">
        <v>45672</v>
      </c>
      <c r="T1" s="260">
        <v>45673</v>
      </c>
      <c r="U1" s="260">
        <v>45674</v>
      </c>
      <c r="V1" s="260">
        <v>45675</v>
      </c>
      <c r="W1" s="260">
        <v>45676</v>
      </c>
      <c r="X1" s="260">
        <v>45677</v>
      </c>
      <c r="Y1" s="260">
        <v>45678</v>
      </c>
      <c r="Z1" s="260">
        <v>45679</v>
      </c>
      <c r="AA1" s="260">
        <v>45680</v>
      </c>
      <c r="AB1" s="260">
        <v>45681</v>
      </c>
      <c r="AC1" s="260">
        <v>45682</v>
      </c>
      <c r="AD1" s="260">
        <v>45683</v>
      </c>
      <c r="AE1" s="260">
        <v>45684</v>
      </c>
      <c r="AF1" s="260">
        <v>45685</v>
      </c>
      <c r="AG1" s="260">
        <v>45686</v>
      </c>
      <c r="AH1" s="260">
        <v>45687</v>
      </c>
      <c r="AI1" s="260">
        <v>45688</v>
      </c>
    </row>
    <row r="2" spans="1:35" x14ac:dyDescent="0.2">
      <c r="A2" s="204" t="s">
        <v>158</v>
      </c>
      <c r="B2" s="205">
        <f>1.25+'2025'!D3-(COUNTIF(E2,"VL")+COUNTIF(H2:AI2,"VL"))-(COUNTIF(E2,"HDL")+COUNTIF(H2:AI2,"HDL"))*0.5</f>
        <v>6.25</v>
      </c>
      <c r="C2" s="286">
        <f t="shared" ref="C2:C18" si="0">1.25+5-COUNTIF(E2:AI2, "SL")-(COUNTIF(E2:AI2, "HDSL") * 0.5)</f>
        <v>5.25</v>
      </c>
      <c r="D2" s="289"/>
      <c r="E2" s="181"/>
      <c r="F2" s="259" t="s">
        <v>172</v>
      </c>
      <c r="G2" s="259" t="s">
        <v>172</v>
      </c>
      <c r="H2" s="181"/>
      <c r="I2" s="181"/>
      <c r="J2" s="181"/>
      <c r="K2" s="181"/>
      <c r="L2" s="181" t="s">
        <v>173</v>
      </c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</row>
    <row r="3" spans="1:35" x14ac:dyDescent="0.2">
      <c r="A3" s="204" t="s">
        <v>160</v>
      </c>
      <c r="B3" s="205">
        <f>1.25+'2025'!D4-(COUNTIF(E3:AI3, "VL") * 1) - (COUNTIF(E3:AI3, "HDL") * 0.5)</f>
        <v>6.25</v>
      </c>
      <c r="C3" s="286">
        <f t="shared" si="0"/>
        <v>5.25</v>
      </c>
      <c r="D3" s="289"/>
      <c r="E3" s="181"/>
      <c r="F3" s="181"/>
      <c r="G3" s="181"/>
      <c r="H3" s="181"/>
      <c r="I3" s="181"/>
      <c r="J3" s="181"/>
      <c r="K3" s="181"/>
      <c r="L3" s="181" t="s">
        <v>173</v>
      </c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</row>
    <row r="4" spans="1:35" x14ac:dyDescent="0.2">
      <c r="A4" s="204" t="s">
        <v>149</v>
      </c>
      <c r="B4" s="205">
        <f>1.25+'2025'!D5-(COUNTIF(E4:AI4, "VL") * 1) - (COUNTIF(E4:AI4, "HDL") * 0.5)</f>
        <v>5.75</v>
      </c>
      <c r="C4" s="286">
        <f t="shared" si="0"/>
        <v>6.25</v>
      </c>
      <c r="D4" s="289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</row>
    <row r="5" spans="1:35" x14ac:dyDescent="0.2">
      <c r="A5" s="204" t="s">
        <v>369</v>
      </c>
      <c r="B5" s="205">
        <f>1.25+'2025'!D6-(COUNTIF(E5,"VL")+COUNTIF(G5:AI5,"VL"))-(COUNTIF(E5,"HDL")+COUNTIF(G5:AI5,"HDL"))*0.5</f>
        <v>5.75</v>
      </c>
      <c r="C5" s="286">
        <f t="shared" si="0"/>
        <v>5.25</v>
      </c>
      <c r="D5" s="289"/>
      <c r="E5" s="181"/>
      <c r="F5" s="268" t="s">
        <v>172</v>
      </c>
      <c r="G5" s="26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 t="s">
        <v>173</v>
      </c>
      <c r="AF5" s="181"/>
      <c r="AG5" s="181"/>
      <c r="AH5" s="181"/>
      <c r="AI5" s="181"/>
    </row>
    <row r="6" spans="1:35" x14ac:dyDescent="0.2">
      <c r="A6" s="204" t="s">
        <v>142</v>
      </c>
      <c r="B6" s="205">
        <f>1.25+'2025'!D7-(COUNTIF(E6:AI6, "VL") * 1) - (COUNTIF(E6:AI6, "HDL") * 0.5)</f>
        <v>3.25</v>
      </c>
      <c r="C6" s="286">
        <f t="shared" si="0"/>
        <v>5.25</v>
      </c>
      <c r="D6" s="289"/>
      <c r="E6" s="181"/>
      <c r="F6" s="268"/>
      <c r="G6" s="268"/>
      <c r="H6" s="181"/>
      <c r="I6" s="181"/>
      <c r="J6" s="181"/>
      <c r="K6" s="181"/>
      <c r="L6" s="181"/>
      <c r="M6" s="181"/>
      <c r="N6" s="181"/>
      <c r="O6" s="181"/>
      <c r="P6" s="181"/>
      <c r="Q6" s="181" t="s">
        <v>172</v>
      </c>
      <c r="R6" s="181" t="s">
        <v>172</v>
      </c>
      <c r="S6" s="181" t="s">
        <v>172</v>
      </c>
      <c r="T6" s="181" t="s">
        <v>173</v>
      </c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81"/>
    </row>
    <row r="7" spans="1:35" x14ac:dyDescent="0.2">
      <c r="A7" s="204" t="s">
        <v>356</v>
      </c>
      <c r="B7" s="205">
        <f>1.25+'2025'!D8-(COUNTIF(E7:AI7, "VL") * 1) - (COUNTIF(E7:AI7, "HDL") * 0.5)</f>
        <v>1.75</v>
      </c>
      <c r="C7" s="286">
        <f t="shared" si="0"/>
        <v>6.25</v>
      </c>
      <c r="D7" s="289"/>
      <c r="E7" s="181"/>
      <c r="F7" s="268"/>
      <c r="G7" s="26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81"/>
    </row>
    <row r="8" spans="1:35" x14ac:dyDescent="0.2">
      <c r="A8" s="204" t="s">
        <v>366</v>
      </c>
      <c r="B8" s="205">
        <f>1.25+'2025'!D9-(COUNTIF(E8:AI8, "VL") * 1) - (COUNTIF(E8:AI8, "HDL") * 0.5)</f>
        <v>5.25</v>
      </c>
      <c r="C8" s="286">
        <f t="shared" si="0"/>
        <v>5.25</v>
      </c>
      <c r="D8" s="289"/>
      <c r="E8" s="181"/>
      <c r="F8" s="268"/>
      <c r="G8" s="268"/>
      <c r="H8" s="181"/>
      <c r="I8" s="181"/>
      <c r="J8" s="181"/>
      <c r="K8" s="181"/>
      <c r="L8" s="181"/>
      <c r="M8" s="181" t="s">
        <v>173</v>
      </c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81"/>
    </row>
    <row r="9" spans="1:35" x14ac:dyDescent="0.2">
      <c r="A9" s="204" t="s">
        <v>176</v>
      </c>
      <c r="B9" s="205">
        <f>1.25+'2025'!D10-(COUNTIF(E9,"VL")+COUNTIF(G9:AI9,"VL"))-(COUNTIF(E9,"HDL")+COUNTIF(G9:AI9,"HDL"))*0.5</f>
        <v>4.75</v>
      </c>
      <c r="C9" s="286">
        <f t="shared" si="0"/>
        <v>6.25</v>
      </c>
      <c r="D9" s="289"/>
      <c r="E9" s="181"/>
      <c r="F9" s="268" t="s">
        <v>172</v>
      </c>
      <c r="G9" s="26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>
        <f>1.25+'2025'!D3
-(COUNTIF(E2,"VL")+COUNTIF(H2:AI2,"VL"))
-(COUNTIF(E2,"HDL")+COUNTIF(H2:AI2,"HDL"))*0.5</f>
        <v>6.25</v>
      </c>
      <c r="AE9" s="181"/>
      <c r="AF9" s="181"/>
      <c r="AG9" s="181"/>
      <c r="AH9" s="181"/>
      <c r="AI9" s="181"/>
    </row>
    <row r="10" spans="1:35" x14ac:dyDescent="0.2">
      <c r="A10" s="204" t="s">
        <v>177</v>
      </c>
      <c r="B10" s="205">
        <f>1.25+'2025'!D11-(COUNTIF(E10:AI10, "VL") * 1) - (COUNTIF(E10:AI10, "HDL") * 0.5)</f>
        <v>2</v>
      </c>
      <c r="C10" s="286">
        <f t="shared" si="0"/>
        <v>6.25</v>
      </c>
      <c r="D10" s="289"/>
      <c r="E10" s="181"/>
      <c r="F10" s="268"/>
      <c r="G10" s="26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81"/>
    </row>
    <row r="11" spans="1:35" x14ac:dyDescent="0.2">
      <c r="A11" s="261" t="s">
        <v>178</v>
      </c>
      <c r="B11" s="205">
        <f>1.25+'2025'!D12-(COUNTIF(E11:AI11, "VL") * 1) - (COUNTIF(E11:AI11, "HDL") * 0.5)</f>
        <v>1.75</v>
      </c>
      <c r="C11" s="286">
        <f t="shared" si="0"/>
        <v>2.25</v>
      </c>
      <c r="D11" s="289"/>
      <c r="E11" s="181"/>
      <c r="F11" s="268"/>
      <c r="G11" s="268"/>
      <c r="H11" s="181"/>
      <c r="I11" s="181"/>
      <c r="J11" s="181"/>
      <c r="K11" s="181"/>
      <c r="L11" s="181"/>
      <c r="M11" s="181"/>
      <c r="N11" s="181"/>
      <c r="O11" s="181"/>
      <c r="P11" s="181" t="s">
        <v>173</v>
      </c>
      <c r="Q11" s="181" t="s">
        <v>173</v>
      </c>
      <c r="R11" s="181" t="s">
        <v>173</v>
      </c>
      <c r="S11" s="181"/>
      <c r="T11" s="269" t="s">
        <v>173</v>
      </c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</row>
    <row r="12" spans="1:35" x14ac:dyDescent="0.2">
      <c r="A12" s="204" t="s">
        <v>364</v>
      </c>
      <c r="B12" s="205">
        <f>1.25+'2025'!D13-(COUNTIF(E12:AI12, "VL") * 1) - (COUNTIF(E12:AI12, "HDL") * 0.5)</f>
        <v>5.75</v>
      </c>
      <c r="C12" s="286">
        <f t="shared" si="0"/>
        <v>6.25</v>
      </c>
      <c r="D12" s="290">
        <f>1.25+7-(COUNTIF(E12,"SPL")+COUNTIF(G12:AI12,"SPL"))</f>
        <v>7.25</v>
      </c>
      <c r="E12" s="181"/>
      <c r="F12" s="248" t="s">
        <v>174</v>
      </c>
      <c r="G12" s="26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 t="s">
        <v>174</v>
      </c>
      <c r="AI12" s="181"/>
    </row>
    <row r="13" spans="1:35" x14ac:dyDescent="0.2">
      <c r="A13" s="204" t="s">
        <v>332</v>
      </c>
      <c r="B13" s="205">
        <f>1.25+'2025'!D14-(COUNTIF(E13:AI13, "VL") * 1) - (COUNTIF(E13:AI13, "HDL") * 0.5)</f>
        <v>1.75</v>
      </c>
      <c r="C13" s="286">
        <f t="shared" si="0"/>
        <v>6.25</v>
      </c>
      <c r="D13" s="289"/>
      <c r="E13" s="181"/>
      <c r="F13" s="268"/>
      <c r="G13" s="26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81"/>
    </row>
    <row r="14" spans="1:35" x14ac:dyDescent="0.2">
      <c r="A14" s="204" t="s">
        <v>162</v>
      </c>
      <c r="B14" s="205">
        <f>1.25+'2025'!D15-(COUNTIF(E14,"VL")+COUNTIF(G14:AI14,"VL"))-(COUNTIF(E14,"HDL")+COUNTIF(G14:AI14,"HDL"))*0.5</f>
        <v>6.25</v>
      </c>
      <c r="C14" s="286">
        <f t="shared" si="0"/>
        <v>6.25</v>
      </c>
      <c r="D14" s="289"/>
      <c r="E14" s="181"/>
      <c r="F14" s="268" t="s">
        <v>172</v>
      </c>
      <c r="G14" s="26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81"/>
    </row>
    <row r="15" spans="1:35" x14ac:dyDescent="0.2">
      <c r="A15" s="204" t="s">
        <v>347</v>
      </c>
      <c r="B15" s="205">
        <f>1.25+'2025'!D16-(COUNTIF(E15:AI15, "VL") * 1) - (COUNTIF(E15:AI15, "HDL") * 0.5)</f>
        <v>6.25</v>
      </c>
      <c r="C15" s="286">
        <f t="shared" si="0"/>
        <v>6.25</v>
      </c>
      <c r="D15" s="289"/>
      <c r="E15" s="181"/>
      <c r="F15" s="268"/>
      <c r="G15" s="26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81"/>
    </row>
    <row r="16" spans="1:35" x14ac:dyDescent="0.2">
      <c r="A16" s="204" t="s">
        <v>367</v>
      </c>
      <c r="B16" s="205">
        <f>1.25+'2025'!D17-(COUNTIF(E16,"VL")+COUNTIF(G16:AI16,"VL"))-(COUNTIF(E16,"HDL")+COUNTIF(G16:AI16,"HDL"))*0.5</f>
        <v>3.25</v>
      </c>
      <c r="C16" s="286">
        <f t="shared" si="0"/>
        <v>6.25</v>
      </c>
      <c r="D16" s="289"/>
      <c r="E16" s="181"/>
      <c r="F16" s="268" t="s">
        <v>172</v>
      </c>
      <c r="G16" s="268"/>
      <c r="H16" s="181"/>
      <c r="I16" s="181" t="s">
        <v>172</v>
      </c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81"/>
    </row>
    <row r="17" spans="1:35" x14ac:dyDescent="0.2">
      <c r="A17" s="204" t="s">
        <v>179</v>
      </c>
      <c r="B17" s="205">
        <f>1.25+'2025'!D18-(COUNTIF(E17:AI17, "VL") * 1) - (COUNTIF(E17:AI17, "HDL") * 0.5)</f>
        <v>5.25</v>
      </c>
      <c r="C17" s="286">
        <f t="shared" si="0"/>
        <v>5.25</v>
      </c>
      <c r="D17" s="289"/>
      <c r="E17" s="181"/>
      <c r="F17" s="268" t="s">
        <v>172</v>
      </c>
      <c r="G17" s="26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 t="s">
        <v>173</v>
      </c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</row>
    <row r="18" spans="1:35" x14ac:dyDescent="0.2">
      <c r="A18" s="204" t="s">
        <v>348</v>
      </c>
      <c r="B18" s="205">
        <f>1.25+'2025'!D19-(COUNTIF(E18:Q18,"VL")+COUNTIF(T8:AI18,"VL"))-(COUNTIF(E18:Q18,"HDL")+COUNTIF(T18:AI18,"HDL"))*0.5</f>
        <v>2.5</v>
      </c>
      <c r="C18" s="286">
        <f t="shared" si="0"/>
        <v>5.25</v>
      </c>
      <c r="D18" s="289"/>
      <c r="E18" s="181"/>
      <c r="F18" s="268"/>
      <c r="G18" s="268"/>
      <c r="H18" s="181"/>
      <c r="I18" s="181"/>
      <c r="J18" s="181"/>
      <c r="K18" s="181"/>
      <c r="L18" s="269" t="s">
        <v>173</v>
      </c>
      <c r="M18" s="181"/>
      <c r="N18" s="181"/>
      <c r="O18" s="181"/>
      <c r="P18" s="181"/>
      <c r="Q18" s="181"/>
      <c r="R18" s="173" t="s">
        <v>172</v>
      </c>
      <c r="S18" s="173" t="s">
        <v>172</v>
      </c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81"/>
    </row>
    <row r="19" spans="1:35" x14ac:dyDescent="0.2">
      <c r="A19" s="215" t="s">
        <v>394</v>
      </c>
      <c r="B19" s="205"/>
      <c r="C19" s="286"/>
      <c r="D19" s="289"/>
      <c r="E19" s="181"/>
      <c r="F19" s="268"/>
      <c r="G19" s="26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73"/>
      <c r="S19" s="173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81"/>
    </row>
    <row r="20" spans="1:35" x14ac:dyDescent="0.2">
      <c r="A20" s="204" t="s">
        <v>370</v>
      </c>
      <c r="B20" s="205">
        <f>1.25+'2025'!D20-(COUNTIF(E20,"VL")+COUNTIF(G20:AI20,"VL"))-(COUNTIF(E20,"HDL")+COUNTIF(G20:AI20,"HDL"))*0.5</f>
        <v>5.75</v>
      </c>
      <c r="C20" s="286">
        <f t="shared" ref="C20:C32" si="1">1.25+5-COUNTIF(E20:AI20, "SL")-(COUNTIF(E20:AI20, "HDSL") * 0.5)</f>
        <v>6.25</v>
      </c>
      <c r="D20" s="289"/>
      <c r="E20" s="181"/>
      <c r="F20" s="268" t="s">
        <v>172</v>
      </c>
      <c r="G20" s="268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</row>
    <row r="21" spans="1:35" x14ac:dyDescent="0.2">
      <c r="A21" s="204" t="s">
        <v>151</v>
      </c>
      <c r="B21" s="205">
        <f>1.25+'2025'!D21-(COUNTIF(E21:AI21, "VL") * 1) - (COUNTIF(E21:AI21, "HDL") * 0.5)</f>
        <v>6.25</v>
      </c>
      <c r="C21" s="286">
        <f t="shared" si="1"/>
        <v>6.25</v>
      </c>
      <c r="D21" s="290">
        <f>1.25+7-COUNTIF(E21:AI118, "SPL")</f>
        <v>6.25</v>
      </c>
      <c r="E21" s="181"/>
      <c r="F21" s="181" t="s">
        <v>174</v>
      </c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 t="s">
        <v>174</v>
      </c>
      <c r="AB21" s="181"/>
      <c r="AC21" s="181"/>
      <c r="AD21" s="181"/>
      <c r="AE21" s="181"/>
      <c r="AF21" s="181"/>
      <c r="AG21" s="181"/>
      <c r="AH21" s="181"/>
      <c r="AI21" s="181"/>
    </row>
    <row r="22" spans="1:35" x14ac:dyDescent="0.2">
      <c r="A22" s="204" t="s">
        <v>181</v>
      </c>
      <c r="B22" s="205">
        <f>1.25+'2025'!D22-(COUNTIF(E22:AI22, "VL") * 1) - (COUNTIF(E22:AI22, "HDL") * 0.5)</f>
        <v>1.75</v>
      </c>
      <c r="C22" s="286">
        <f t="shared" si="1"/>
        <v>6.25</v>
      </c>
      <c r="D22" s="289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  <c r="AA22" s="181"/>
      <c r="AB22" s="181"/>
      <c r="AC22" s="181" t="s">
        <v>172</v>
      </c>
      <c r="AD22" s="181"/>
      <c r="AE22" s="181"/>
      <c r="AF22" s="181"/>
      <c r="AG22" s="181"/>
      <c r="AH22" s="181"/>
      <c r="AI22" s="181"/>
    </row>
    <row r="23" spans="1:35" x14ac:dyDescent="0.2">
      <c r="A23" s="204" t="s">
        <v>221</v>
      </c>
      <c r="B23" s="205">
        <f>1.25+'2025'!D23-(COUNTIF(E23:AI23, "VL") * 1) - (COUNTIF(E23:AI23, "HDL") * 0.5)</f>
        <v>6.25</v>
      </c>
      <c r="C23" s="286">
        <f t="shared" si="1"/>
        <v>6.25</v>
      </c>
      <c r="D23" s="289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1"/>
    </row>
    <row r="24" spans="1:35" x14ac:dyDescent="0.2">
      <c r="A24" s="204" t="s">
        <v>152</v>
      </c>
      <c r="B24" s="205">
        <f>1.25+'2025'!D24-(COUNTIF(E24:AI24, "VL") * 1) - (COUNTIF(E24:AI24, "HDL") * 0.5)</f>
        <v>2.25</v>
      </c>
      <c r="C24" s="286">
        <f t="shared" si="1"/>
        <v>6.25</v>
      </c>
      <c r="D24" s="289"/>
      <c r="E24" s="181" t="s">
        <v>172</v>
      </c>
      <c r="F24" s="181" t="s">
        <v>172</v>
      </c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  <c r="AC24" s="181"/>
      <c r="AD24" s="181"/>
      <c r="AE24" s="181"/>
      <c r="AF24" s="269" t="s">
        <v>172</v>
      </c>
      <c r="AG24" s="269" t="s">
        <v>172</v>
      </c>
      <c r="AH24" s="181"/>
      <c r="AI24" s="181"/>
    </row>
    <row r="25" spans="1:35" x14ac:dyDescent="0.2">
      <c r="A25" s="204" t="s">
        <v>170</v>
      </c>
      <c r="B25" s="205">
        <f>1.25+'2025'!D25-(COUNTIF(E25:AI25, "VL") * 1) - (COUNTIF(E25:AI25, "HDL") * 0.5)</f>
        <v>3.25</v>
      </c>
      <c r="C25" s="286">
        <f t="shared" si="1"/>
        <v>6.25</v>
      </c>
      <c r="D25" s="289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  <c r="AC25" s="181"/>
      <c r="AD25" s="181"/>
      <c r="AE25" s="181"/>
      <c r="AF25" s="181"/>
      <c r="AG25" s="181" t="s">
        <v>172</v>
      </c>
      <c r="AH25" s="181"/>
      <c r="AI25" s="181"/>
    </row>
    <row r="26" spans="1:35" x14ac:dyDescent="0.2">
      <c r="A26" s="262" t="s">
        <v>371</v>
      </c>
      <c r="B26" s="205">
        <f>1.25+'2025'!D26-(COUNTIF(E26:AI26, "VL") * 1) - (COUNTIF(E26:AI26, "HDL") * 0.5)</f>
        <v>5.25</v>
      </c>
      <c r="C26" s="286">
        <f t="shared" si="1"/>
        <v>6.25</v>
      </c>
      <c r="D26" s="289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 t="s">
        <v>182</v>
      </c>
      <c r="AD26" s="181"/>
      <c r="AE26" s="181"/>
      <c r="AF26" s="181"/>
      <c r="AG26" s="181"/>
      <c r="AH26" s="181"/>
      <c r="AI26" s="181"/>
    </row>
    <row r="27" spans="1:35" x14ac:dyDescent="0.2">
      <c r="A27" s="263" t="s">
        <v>334</v>
      </c>
      <c r="B27" s="205">
        <f>1.25+'2025'!D27-(COUNTIF(E27:G27,"VL")+COUNTIF(I27:AI27,"VL"))-(COUNTIF(E27:G27,"HDL")+COUNTIF(I27:AI27,"HDL"))*0.5</f>
        <v>6.25</v>
      </c>
      <c r="C27" s="286">
        <f t="shared" si="1"/>
        <v>6.25</v>
      </c>
      <c r="D27" s="289"/>
      <c r="E27" s="181"/>
      <c r="F27" s="259"/>
      <c r="G27" s="259"/>
      <c r="H27" s="259" t="s">
        <v>172</v>
      </c>
      <c r="I27" s="259"/>
      <c r="J27" s="259"/>
      <c r="K27" s="259"/>
      <c r="L27" s="259"/>
      <c r="M27" s="259"/>
      <c r="N27" s="259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1:35" x14ac:dyDescent="0.2">
      <c r="A28" s="262" t="s">
        <v>372</v>
      </c>
      <c r="B28" s="205">
        <f>1.25+'2025'!D28-(COUNTIF(E28:AI28, "VL") * 1) - (COUNTIF(E28:AI28, "HDL") * 0.5)</f>
        <v>5.5</v>
      </c>
      <c r="C28" s="286">
        <f t="shared" si="1"/>
        <v>6.25</v>
      </c>
      <c r="D28" s="289"/>
      <c r="E28" s="181"/>
      <c r="F28" s="259"/>
      <c r="G28" s="259"/>
      <c r="H28" s="259"/>
      <c r="I28" s="259"/>
      <c r="J28" s="259"/>
      <c r="K28" s="259"/>
      <c r="L28" s="259"/>
      <c r="M28" s="259"/>
      <c r="N28" s="259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1:35" x14ac:dyDescent="0.2">
      <c r="A29" s="204" t="s">
        <v>145</v>
      </c>
      <c r="B29" s="205">
        <f>1.25+'2025'!D29-(COUNTIF(E29:AI29, "VL") * 1) - (COUNTIF(E29:AI29, "HDL") * 0.5)</f>
        <v>2</v>
      </c>
      <c r="C29" s="286">
        <f t="shared" si="1"/>
        <v>6.25</v>
      </c>
      <c r="D29" s="289"/>
      <c r="E29" s="181"/>
      <c r="F29" s="259"/>
      <c r="G29" s="259"/>
      <c r="H29" s="259"/>
      <c r="I29" s="259"/>
      <c r="J29" s="259"/>
      <c r="K29" s="259"/>
      <c r="L29" s="259"/>
      <c r="M29" s="259"/>
      <c r="N29" s="259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1:35" x14ac:dyDescent="0.2">
      <c r="A30" s="204" t="s">
        <v>357</v>
      </c>
      <c r="B30" s="205">
        <f>1.25+'2025'!D30-(COUNTIF(E30:AI30, "VL") * 1) - (COUNTIF(E30:AI30, "HDL") * 0.5)</f>
        <v>4.75</v>
      </c>
      <c r="C30" s="286">
        <f t="shared" si="1"/>
        <v>6.25</v>
      </c>
      <c r="D30" s="289"/>
      <c r="E30" s="181"/>
      <c r="F30" s="259"/>
      <c r="G30" s="259"/>
      <c r="H30" s="259"/>
      <c r="I30" s="259"/>
      <c r="J30" s="259"/>
      <c r="K30" s="259"/>
      <c r="L30" s="259"/>
      <c r="M30" s="259"/>
      <c r="N30" s="259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1:35" x14ac:dyDescent="0.2">
      <c r="A31" s="204" t="s">
        <v>349</v>
      </c>
      <c r="B31" s="205">
        <f>1.25+'2025'!D31-(COUNTIF(E31:AI31, "VL") * 1) - (COUNTIF(E31:AI31, "HDL") * 0.5)</f>
        <v>7.5</v>
      </c>
      <c r="C31" s="286">
        <f t="shared" si="1"/>
        <v>6.25</v>
      </c>
      <c r="D31" s="289"/>
      <c r="E31" s="181"/>
      <c r="F31" s="259"/>
      <c r="G31" s="259"/>
      <c r="H31" s="259"/>
      <c r="I31" s="259"/>
      <c r="J31" s="259"/>
      <c r="K31" s="259"/>
      <c r="L31" s="259"/>
      <c r="M31" s="259"/>
      <c r="N31" s="259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1:35" x14ac:dyDescent="0.2">
      <c r="A32" s="204" t="s">
        <v>150</v>
      </c>
      <c r="B32" s="205">
        <f>1.25+'2025'!D32-(COUNTIF(E32:AI32, "VL") * 1) - (COUNTIF(E32:AI32, "HDL") * 0.5)</f>
        <v>6.25</v>
      </c>
      <c r="C32" s="286">
        <f t="shared" si="1"/>
        <v>6.25</v>
      </c>
      <c r="D32" s="289"/>
      <c r="E32" s="181"/>
      <c r="F32" s="259"/>
      <c r="G32" s="259"/>
      <c r="H32" s="259"/>
      <c r="I32" s="259"/>
      <c r="J32" s="259"/>
      <c r="K32" s="259"/>
      <c r="L32" s="259"/>
      <c r="M32" s="259"/>
      <c r="N32" s="259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spans="1:35" x14ac:dyDescent="0.2">
      <c r="A33" s="215" t="s">
        <v>378</v>
      </c>
      <c r="B33" s="205">
        <f>1.25+1.25*6-5</f>
        <v>3.75</v>
      </c>
      <c r="C33" s="286"/>
      <c r="D33" s="289"/>
      <c r="E33" s="181"/>
      <c r="F33" s="259" t="s">
        <v>172</v>
      </c>
      <c r="G33" s="259"/>
      <c r="H33" s="259"/>
      <c r="I33" s="259"/>
      <c r="J33" s="259"/>
      <c r="K33" s="259"/>
      <c r="L33" s="259"/>
      <c r="M33" s="259"/>
      <c r="N33" s="259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81"/>
    </row>
    <row r="34" spans="1:35" x14ac:dyDescent="0.2">
      <c r="A34" s="204" t="s">
        <v>168</v>
      </c>
      <c r="B34" s="205">
        <f>1.25+'2025'!D33-(COUNTIF(E34:AI34, "VL") * 1) - (COUNTIF(E34:AI34, "HDL") * 0.5)</f>
        <v>1.25</v>
      </c>
      <c r="C34" s="286">
        <f t="shared" ref="C34:C44" si="2">1.25+5-COUNTIF(E34:AI34, "SL")-(COUNTIF(E34:AI34, "HDSL") * 0.5)</f>
        <v>5.25</v>
      </c>
      <c r="D34" s="289"/>
      <c r="E34" s="181"/>
      <c r="F34" s="259"/>
      <c r="G34" s="259"/>
      <c r="H34" s="259"/>
      <c r="I34" s="259"/>
      <c r="J34" s="259"/>
      <c r="K34" s="259"/>
      <c r="L34" s="259"/>
      <c r="M34" s="259"/>
      <c r="N34" s="259"/>
      <c r="O34" s="181"/>
      <c r="P34" s="181" t="s">
        <v>172</v>
      </c>
      <c r="Q34" s="181" t="s">
        <v>172</v>
      </c>
      <c r="R34" s="181"/>
      <c r="S34" s="181"/>
      <c r="T34" s="181"/>
      <c r="U34" s="181"/>
      <c r="V34" s="181"/>
      <c r="W34" s="181" t="s">
        <v>173</v>
      </c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81"/>
    </row>
    <row r="35" spans="1:35" x14ac:dyDescent="0.2">
      <c r="A35" s="204" t="s">
        <v>156</v>
      </c>
      <c r="B35" s="205">
        <f>1.25+'2025'!D34-(COUNTIF(E35:AI35, "VL") * 1) - (COUNTIF(E35:AI35, "HDL") * 0.5)</f>
        <v>2</v>
      </c>
      <c r="C35" s="286">
        <f t="shared" si="2"/>
        <v>6.25</v>
      </c>
      <c r="D35" s="289"/>
      <c r="E35" s="181"/>
      <c r="F35" s="259"/>
      <c r="G35" s="259"/>
      <c r="H35" s="259"/>
      <c r="I35" s="259"/>
      <c r="J35" s="259"/>
      <c r="K35" s="259"/>
      <c r="L35" s="259"/>
      <c r="M35" s="259"/>
      <c r="N35" s="259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81"/>
    </row>
    <row r="36" spans="1:35" x14ac:dyDescent="0.2">
      <c r="A36" s="204" t="s">
        <v>183</v>
      </c>
      <c r="B36" s="205">
        <f>1.25+'2025'!D35-(COUNTIF(E36,"VL")+COUNTIF(G36:AI36,"VL"))-(COUNTIF(E36,"HDL")+COUNTIF(G36:AI36,"HDL"))*0.5</f>
        <v>2.25</v>
      </c>
      <c r="C36" s="286">
        <f t="shared" si="2"/>
        <v>6.25</v>
      </c>
      <c r="D36" s="290">
        <f>1.25+7-COUNTIF(E36:AI36, "SPL")</f>
        <v>8.25</v>
      </c>
      <c r="E36" s="181"/>
      <c r="F36" s="259" t="s">
        <v>172</v>
      </c>
      <c r="G36" s="259"/>
      <c r="H36" s="259"/>
      <c r="I36" s="259"/>
      <c r="J36" s="259"/>
      <c r="K36" s="259"/>
      <c r="L36" s="259"/>
      <c r="M36" s="259"/>
      <c r="N36" s="259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81"/>
    </row>
    <row r="37" spans="1:35" x14ac:dyDescent="0.2">
      <c r="A37" s="204" t="s">
        <v>373</v>
      </c>
      <c r="B37" s="205">
        <f>1.25+'2025'!D36-(COUNTIF(E37:AI37, "VL") * 1) - (COUNTIF(E37:AI37, "HDL") * 0.5)</f>
        <v>6.25</v>
      </c>
      <c r="C37" s="286">
        <f t="shared" si="2"/>
        <v>6.25</v>
      </c>
      <c r="D37" s="289"/>
      <c r="E37" s="181"/>
      <c r="F37" s="259"/>
      <c r="G37" s="259"/>
      <c r="H37" s="259"/>
      <c r="I37" s="259"/>
      <c r="J37" s="259"/>
      <c r="K37" s="259"/>
      <c r="L37" s="259"/>
      <c r="M37" s="259"/>
      <c r="N37" s="259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81"/>
    </row>
    <row r="38" spans="1:35" x14ac:dyDescent="0.2">
      <c r="A38" s="204" t="s">
        <v>350</v>
      </c>
      <c r="B38" s="205">
        <f>1.25+'2025'!D37-(COUNTIF(E38:AI38, "VL") * 1) - (COUNTIF(E38:AI38, "HDL") * 0.5)</f>
        <v>3.5</v>
      </c>
      <c r="C38" s="286">
        <f t="shared" si="2"/>
        <v>6.25</v>
      </c>
      <c r="D38" s="289"/>
      <c r="E38" s="181"/>
      <c r="F38" s="259"/>
      <c r="G38" s="259"/>
      <c r="H38" s="259"/>
      <c r="I38" s="259"/>
      <c r="J38" s="259"/>
      <c r="K38" s="259"/>
      <c r="L38" s="259"/>
      <c r="M38" s="259"/>
      <c r="N38" s="259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81"/>
    </row>
    <row r="39" spans="1:35" x14ac:dyDescent="0.2">
      <c r="A39" s="204" t="s">
        <v>146</v>
      </c>
      <c r="B39" s="205">
        <f>1.25+'2025'!D38-(COUNTIF(E39:AI39, "VL") * 1) - (COUNTIF(E39:AI39, "HDL") * 0.5)</f>
        <v>1.75</v>
      </c>
      <c r="C39" s="286">
        <f t="shared" si="2"/>
        <v>5.25</v>
      </c>
      <c r="D39" s="289"/>
      <c r="E39" s="181"/>
      <c r="F39" s="259"/>
      <c r="G39" s="259"/>
      <c r="H39" s="259"/>
      <c r="I39" s="259"/>
      <c r="J39" s="259"/>
      <c r="K39" s="259"/>
      <c r="L39" s="259"/>
      <c r="M39" s="259"/>
      <c r="N39" s="259"/>
      <c r="O39" s="181"/>
      <c r="P39" s="181"/>
      <c r="Q39" s="181" t="s">
        <v>173</v>
      </c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81"/>
    </row>
    <row r="40" spans="1:35" x14ac:dyDescent="0.2">
      <c r="A40" s="204" t="s">
        <v>184</v>
      </c>
      <c r="B40" s="205">
        <f>1.25+'2025'!D39-(COUNTIF(E40:AI40, "VL") * 1) - (COUNTIF(E40:AI40, "HDL") * 0.5)</f>
        <v>3.75</v>
      </c>
      <c r="C40" s="286">
        <f t="shared" si="2"/>
        <v>5.25</v>
      </c>
      <c r="D40" s="289"/>
      <c r="E40" s="181"/>
      <c r="F40" s="259"/>
      <c r="G40" s="259"/>
      <c r="H40" s="259"/>
      <c r="I40" s="259"/>
      <c r="J40" s="259"/>
      <c r="K40" s="259"/>
      <c r="L40" s="259"/>
      <c r="M40" s="259"/>
      <c r="N40" s="259"/>
      <c r="O40" s="181"/>
      <c r="P40" s="181"/>
      <c r="Q40" s="181"/>
      <c r="R40" s="181"/>
      <c r="S40" s="181"/>
      <c r="T40" s="181" t="s">
        <v>173</v>
      </c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81"/>
    </row>
    <row r="41" spans="1:35" x14ac:dyDescent="0.2">
      <c r="A41" s="262" t="s">
        <v>351</v>
      </c>
      <c r="B41" s="205">
        <f>1.25+'2025'!D40-(COUNTIF(E41,"VL")+COUNTIF(G41:AI41,"VL"))-(COUNTIF(E41,"HDL")+COUNTIF(G41:AI41,"HDL"))*0.5</f>
        <v>6.25</v>
      </c>
      <c r="C41" s="286">
        <f t="shared" si="2"/>
        <v>6.25</v>
      </c>
      <c r="D41" s="289"/>
      <c r="E41" s="181"/>
      <c r="F41" s="259" t="s">
        <v>172</v>
      </c>
      <c r="G41" s="259"/>
      <c r="H41" s="259"/>
      <c r="I41" s="259"/>
      <c r="J41" s="259"/>
      <c r="K41" s="259"/>
      <c r="L41" s="259"/>
      <c r="M41" s="259"/>
      <c r="N41" s="259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81"/>
    </row>
    <row r="42" spans="1:35" x14ac:dyDescent="0.2">
      <c r="A42" s="263" t="s">
        <v>335</v>
      </c>
      <c r="B42" s="205">
        <f>1.25+'2025'!D41-(COUNTIF(E42:AI42, "VL") * 1) - (COUNTIF(E42:AI42, "HDL") * 0.5)</f>
        <v>4.75</v>
      </c>
      <c r="C42" s="286">
        <f t="shared" si="2"/>
        <v>6.25</v>
      </c>
      <c r="D42" s="289"/>
      <c r="E42" s="181"/>
      <c r="F42" s="259"/>
      <c r="G42" s="259"/>
      <c r="H42" s="259"/>
      <c r="I42" s="259"/>
      <c r="J42" s="259"/>
      <c r="K42" s="259"/>
      <c r="L42" s="259"/>
      <c r="M42" s="259"/>
      <c r="N42" s="259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81" t="s">
        <v>172</v>
      </c>
    </row>
    <row r="43" spans="1:35" x14ac:dyDescent="0.2">
      <c r="A43" s="263" t="s">
        <v>336</v>
      </c>
      <c r="B43" s="205">
        <f>1.25+'2025'!D42-(COUNTIF(E43,"VL")+COUNTIF(G43:AI43,"VL"))-(COUNTIF(E43,"HDL")+COUNTIF(G43:AI43,"HDL"))*0.5</f>
        <v>6.25</v>
      </c>
      <c r="C43" s="286">
        <f t="shared" si="2"/>
        <v>6.25</v>
      </c>
      <c r="D43" s="289"/>
      <c r="E43" s="181"/>
      <c r="F43" s="259" t="s">
        <v>172</v>
      </c>
      <c r="G43" s="259"/>
      <c r="H43" s="259"/>
      <c r="I43" s="259"/>
      <c r="J43" s="259"/>
      <c r="K43" s="259"/>
      <c r="L43" s="259"/>
      <c r="M43" s="259"/>
      <c r="N43" s="259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81"/>
      <c r="AI43" s="181"/>
    </row>
    <row r="44" spans="1:35" x14ac:dyDescent="0.2">
      <c r="A44" s="204" t="s">
        <v>157</v>
      </c>
      <c r="B44" s="205">
        <f>1.25+'2025'!D43-(COUNTIF(E44:AI44, "VL") * 1) - (COUNTIF(E44:AI44, "HDL") * 0.5)</f>
        <v>3</v>
      </c>
      <c r="C44" s="286">
        <f t="shared" si="2"/>
        <v>5.25</v>
      </c>
      <c r="D44" s="289"/>
      <c r="E44" s="181"/>
      <c r="F44" s="259"/>
      <c r="G44" s="259"/>
      <c r="H44" s="259"/>
      <c r="I44" s="259"/>
      <c r="J44" s="259"/>
      <c r="K44" s="259"/>
      <c r="L44" s="259"/>
      <c r="M44" s="259"/>
      <c r="N44" s="259"/>
      <c r="O44" s="181"/>
      <c r="P44" s="181"/>
      <c r="Q44" s="181"/>
      <c r="R44" s="181"/>
      <c r="S44" s="269" t="s">
        <v>173</v>
      </c>
      <c r="T44" s="181"/>
      <c r="U44" s="181"/>
      <c r="V44" s="181"/>
      <c r="W44" s="181"/>
      <c r="X44" s="181"/>
      <c r="Y44" s="181"/>
      <c r="Z44" s="181"/>
      <c r="AA44" s="181"/>
      <c r="AB44" s="181"/>
      <c r="AC44" s="181"/>
      <c r="AD44" s="181"/>
      <c r="AE44" s="181"/>
      <c r="AF44" s="181"/>
      <c r="AG44" s="181" t="s">
        <v>172</v>
      </c>
      <c r="AH44" s="181"/>
      <c r="AI44" s="181"/>
    </row>
    <row r="45" spans="1:35" x14ac:dyDescent="0.2">
      <c r="A45" s="204" t="s">
        <v>395</v>
      </c>
      <c r="B45" s="205">
        <f>1.25*6-(COUNTIF(E45:AI45, "VL") * 1) - (COUNTIF(E45:AI45, "HDL") * 0.5)</f>
        <v>7.5</v>
      </c>
      <c r="C45" s="286"/>
      <c r="D45" s="289"/>
      <c r="E45" s="181"/>
      <c r="F45" s="259"/>
      <c r="G45" s="259"/>
      <c r="H45" s="259"/>
      <c r="I45" s="259"/>
      <c r="J45" s="259"/>
      <c r="K45" s="259"/>
      <c r="L45" s="259"/>
      <c r="M45" s="259"/>
      <c r="N45" s="259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  <c r="AA45" s="181"/>
      <c r="AB45" s="181"/>
      <c r="AC45" s="181"/>
      <c r="AD45" s="181"/>
      <c r="AE45" s="181"/>
      <c r="AF45" s="181"/>
      <c r="AG45" s="181"/>
      <c r="AH45" s="181"/>
      <c r="AI45" s="181"/>
    </row>
    <row r="46" spans="1:35" x14ac:dyDescent="0.2">
      <c r="A46" s="204" t="s">
        <v>161</v>
      </c>
      <c r="B46" s="205">
        <f>1.25+'2025'!D45-(COUNTIF(E46:AI46, "VL") * 1) - (COUNTIF(E46:AI46, "HDL") * 0.5)</f>
        <v>6.25</v>
      </c>
      <c r="C46" s="286">
        <f>1.25+5-COUNTIF(E46:AI46, "SL")-(COUNTIF(E46:AI46, "HDSL") * 0.5)</f>
        <v>3.75</v>
      </c>
      <c r="D46" s="289"/>
      <c r="E46" s="181"/>
      <c r="F46" s="259"/>
      <c r="G46" s="259"/>
      <c r="H46" s="259"/>
      <c r="I46" s="259"/>
      <c r="J46" s="259"/>
      <c r="K46" s="259" t="s">
        <v>173</v>
      </c>
      <c r="L46" s="259" t="s">
        <v>173</v>
      </c>
      <c r="M46" s="259"/>
      <c r="N46" s="259"/>
      <c r="O46" s="181"/>
      <c r="P46" s="181"/>
      <c r="Q46" s="181"/>
      <c r="R46" s="181"/>
      <c r="S46" s="269" t="s">
        <v>175</v>
      </c>
      <c r="T46" s="181"/>
      <c r="U46" s="181"/>
      <c r="V46" s="181"/>
      <c r="W46" s="181"/>
      <c r="X46" s="181"/>
      <c r="Y46" s="181"/>
      <c r="Z46" s="181"/>
      <c r="AA46" s="181"/>
      <c r="AB46" s="181"/>
      <c r="AC46" s="181"/>
      <c r="AD46" s="181"/>
      <c r="AE46" s="181"/>
      <c r="AF46" s="181"/>
      <c r="AG46" s="181"/>
      <c r="AH46" s="181"/>
      <c r="AI46" s="181"/>
    </row>
    <row r="47" spans="1:35" x14ac:dyDescent="0.2">
      <c r="A47" s="204" t="s">
        <v>338</v>
      </c>
      <c r="B47" s="205">
        <f>1.25+'2025'!D45-(COUNTIF(E47:AI47, "VL") * 1) - (COUNTIF(E47:AI47, "HDL") * 0.5)</f>
        <v>6.25</v>
      </c>
      <c r="C47" s="286">
        <f>1.25+5-COUNTIF(E47:H47, "SL")+COUNTIF(J47:AI47, "SL")-(COUNTIF(E47:H47, "HDSL") * 0.5)+COUNTIF(J47:AI47, "SL")</f>
        <v>6.25</v>
      </c>
      <c r="D47" s="289"/>
      <c r="E47" s="181"/>
      <c r="F47" s="259"/>
      <c r="G47" s="259"/>
      <c r="H47" s="259"/>
      <c r="I47" s="259" t="s">
        <v>173</v>
      </c>
      <c r="J47" s="259"/>
      <c r="K47" s="259"/>
      <c r="L47" s="259"/>
      <c r="M47" s="259"/>
      <c r="N47" s="259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  <c r="AA47" s="181"/>
      <c r="AB47" s="181"/>
      <c r="AC47" s="181"/>
      <c r="AD47" s="181"/>
      <c r="AE47" s="181"/>
      <c r="AF47" s="181"/>
      <c r="AG47" s="181"/>
      <c r="AH47" s="181"/>
      <c r="AI47" s="181"/>
    </row>
    <row r="48" spans="1:35" x14ac:dyDescent="0.2">
      <c r="A48" s="204" t="s">
        <v>358</v>
      </c>
      <c r="B48" s="205">
        <f>1.25+'2025'!D46
- (COUNTIF(E48,"VL") + COUNTIF(G48:H48,"VL") + COUNTIF(N48:AI48,"VL"))
- ((COUNTIF(E48,"HDL") + COUNTIF(H48:AI48,"HDL")) * 0.5)</f>
        <v>1.75</v>
      </c>
      <c r="C48" s="286">
        <f t="shared" ref="C48:C57" si="3">1.25+5-COUNTIF(E48:AI48, "SL")-(COUNTIF(E48:AI48, "HDSL") * 0.5)</f>
        <v>6.25</v>
      </c>
      <c r="D48" s="289"/>
      <c r="E48" s="181"/>
      <c r="F48" s="259" t="s">
        <v>172</v>
      </c>
      <c r="G48" s="259"/>
      <c r="H48" s="259"/>
      <c r="I48" s="259" t="s">
        <v>172</v>
      </c>
      <c r="J48" s="259" t="s">
        <v>172</v>
      </c>
      <c r="K48" s="259" t="s">
        <v>172</v>
      </c>
      <c r="L48" s="259" t="s">
        <v>172</v>
      </c>
      <c r="M48" s="259" t="s">
        <v>172</v>
      </c>
      <c r="N48" s="259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  <c r="AA48" s="181"/>
      <c r="AB48" s="181"/>
      <c r="AC48" s="181"/>
      <c r="AD48" s="181"/>
      <c r="AE48" s="181" t="s">
        <v>172</v>
      </c>
      <c r="AF48" s="181"/>
      <c r="AG48" s="181"/>
      <c r="AH48" s="181"/>
      <c r="AI48" s="181"/>
    </row>
    <row r="49" spans="1:35" x14ac:dyDescent="0.2">
      <c r="A49" s="204" t="s">
        <v>167</v>
      </c>
      <c r="B49" s="205">
        <f>1.25+'2025'!D47-(COUNTIF(E49:AI49, "VL") * 1) - (COUNTIF(E49:AI49, "HDL") * 0.5)</f>
        <v>5.5</v>
      </c>
      <c r="C49" s="286">
        <f t="shared" si="3"/>
        <v>6.25</v>
      </c>
      <c r="D49" s="289"/>
      <c r="E49" s="181"/>
      <c r="F49" s="259"/>
      <c r="G49" s="259"/>
      <c r="H49" s="259"/>
      <c r="I49" s="259"/>
      <c r="J49" s="259"/>
      <c r="K49" s="259"/>
      <c r="L49" s="259"/>
      <c r="M49" s="259"/>
      <c r="N49" s="259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1"/>
    </row>
    <row r="50" spans="1:35" x14ac:dyDescent="0.2">
      <c r="A50" s="204" t="s">
        <v>353</v>
      </c>
      <c r="B50" s="205">
        <f>1.25+'2025'!D48-(COUNTIF(E50:AI50, "VL") * 1) - (COUNTIF(E50:AI50, "HDL") * 0.5)</f>
        <v>6.25</v>
      </c>
      <c r="C50" s="286">
        <f t="shared" si="3"/>
        <v>6.25</v>
      </c>
      <c r="D50" s="289"/>
      <c r="E50" s="181"/>
      <c r="F50" s="259"/>
      <c r="G50" s="259"/>
      <c r="H50" s="259"/>
      <c r="I50" s="259"/>
      <c r="J50" s="259"/>
      <c r="K50" s="259"/>
      <c r="L50" s="259"/>
      <c r="M50" s="259"/>
      <c r="N50" s="259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  <c r="AA50" s="181"/>
      <c r="AB50" s="181"/>
      <c r="AC50" s="181"/>
      <c r="AD50" s="181"/>
      <c r="AE50" s="181"/>
      <c r="AF50" s="181"/>
      <c r="AG50" s="181"/>
      <c r="AH50" s="181"/>
      <c r="AI50" s="181"/>
    </row>
    <row r="51" spans="1:35" x14ac:dyDescent="0.2">
      <c r="A51" s="204" t="s">
        <v>159</v>
      </c>
      <c r="B51" s="205">
        <f>1.25+'2025'!D49-(COUNTIF(E51:AI51, "VL") * 1) - (COUNTIF(E51:AI51, "HDL") * 0.5)</f>
        <v>1.25</v>
      </c>
      <c r="C51" s="286">
        <f t="shared" si="3"/>
        <v>5.25</v>
      </c>
      <c r="D51" s="289"/>
      <c r="E51" s="181"/>
      <c r="F51" s="259"/>
      <c r="G51" s="259"/>
      <c r="H51" s="259"/>
      <c r="I51" s="259"/>
      <c r="J51" s="259"/>
      <c r="K51" s="259"/>
      <c r="L51" s="259"/>
      <c r="M51" s="259"/>
      <c r="N51" s="259"/>
      <c r="O51" s="181"/>
      <c r="P51" s="181"/>
      <c r="Q51" s="181"/>
      <c r="R51" s="181"/>
      <c r="S51" s="181"/>
      <c r="T51" s="181"/>
      <c r="U51" s="181"/>
      <c r="V51" s="181" t="s">
        <v>173</v>
      </c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81"/>
    </row>
    <row r="52" spans="1:35" x14ac:dyDescent="0.2">
      <c r="A52" s="204" t="s">
        <v>223</v>
      </c>
      <c r="B52" s="205">
        <f>1.25+'2025'!D50-(COUNTIF(E52:AI52, "VL") * 1) - (COUNTIF(E52:AI52, "HDL") * 0.5)</f>
        <v>6.25</v>
      </c>
      <c r="C52" s="286">
        <f t="shared" si="3"/>
        <v>5.25</v>
      </c>
      <c r="D52" s="289"/>
      <c r="E52" s="181"/>
      <c r="F52" s="259"/>
      <c r="G52" s="259"/>
      <c r="H52" s="259"/>
      <c r="I52" s="259"/>
      <c r="J52" s="259"/>
      <c r="K52" s="259"/>
      <c r="L52" s="259"/>
      <c r="M52" s="259"/>
      <c r="N52" s="259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 t="s">
        <v>173</v>
      </c>
      <c r="AA52" s="181"/>
      <c r="AB52" s="181"/>
      <c r="AC52" s="181"/>
      <c r="AD52" s="181"/>
      <c r="AE52" s="181"/>
      <c r="AF52" s="181"/>
      <c r="AG52" s="181"/>
      <c r="AH52" s="181"/>
      <c r="AI52" s="181"/>
    </row>
    <row r="53" spans="1:35" x14ac:dyDescent="0.2">
      <c r="A53" s="204" t="s">
        <v>359</v>
      </c>
      <c r="B53" s="205">
        <f>1.25+'2025'!D51-(COUNTIF(E53,"VL")+COUNTIF(H53:AI53,"VL"))-(COUNTIF(E53,"HDL")+COUNTIF(H53:AI53,"HDL"))*0.5</f>
        <v>5.75</v>
      </c>
      <c r="C53" s="286">
        <f t="shared" si="3"/>
        <v>6.25</v>
      </c>
      <c r="D53" s="289"/>
      <c r="E53" s="181"/>
      <c r="F53" s="259" t="s">
        <v>172</v>
      </c>
      <c r="G53" s="259" t="s">
        <v>172</v>
      </c>
      <c r="H53" s="259"/>
      <c r="I53" s="259"/>
      <c r="J53" s="259"/>
      <c r="K53" s="259"/>
      <c r="L53" s="259"/>
      <c r="M53" s="259"/>
      <c r="N53" s="259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</row>
    <row r="54" spans="1:35" x14ac:dyDescent="0.2">
      <c r="A54" s="204" t="s">
        <v>185</v>
      </c>
      <c r="B54" s="205">
        <f>1.25+'2025'!D52-(COUNTIF(E54:AI54, "VL") * 1) - (COUNTIF(E54:AI54, "HDL") * 0.5)</f>
        <v>2.75</v>
      </c>
      <c r="C54" s="286">
        <f t="shared" si="3"/>
        <v>6.25</v>
      </c>
      <c r="D54" s="289"/>
      <c r="E54" s="181"/>
      <c r="F54" s="259"/>
      <c r="G54" s="259"/>
      <c r="H54" s="259"/>
      <c r="I54" s="259"/>
      <c r="J54" s="259"/>
      <c r="K54" s="259"/>
      <c r="L54" s="259"/>
      <c r="M54" s="259"/>
      <c r="N54" s="259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81"/>
    </row>
    <row r="55" spans="1:35" x14ac:dyDescent="0.2">
      <c r="A55" s="204" t="s">
        <v>360</v>
      </c>
      <c r="B55" s="205">
        <f>1.25+'2025'!D53-(COUNTIF(E55:AI55, "VL") * 1) - (COUNTIF(E55:AI55, "HDL") * 0.5)</f>
        <v>1.75</v>
      </c>
      <c r="C55" s="286">
        <f t="shared" si="3"/>
        <v>5.25</v>
      </c>
      <c r="D55" s="289"/>
      <c r="E55" s="181"/>
      <c r="F55" s="259" t="s">
        <v>172</v>
      </c>
      <c r="G55" s="259"/>
      <c r="H55" s="259"/>
      <c r="I55" s="259" t="s">
        <v>172</v>
      </c>
      <c r="J55" s="259" t="s">
        <v>173</v>
      </c>
      <c r="K55" s="259"/>
      <c r="L55" s="259"/>
      <c r="M55" s="259"/>
      <c r="N55" s="259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 t="s">
        <v>172</v>
      </c>
      <c r="Z55" s="181"/>
      <c r="AA55" s="181"/>
      <c r="AB55" s="181"/>
      <c r="AC55" s="181"/>
      <c r="AD55" s="181"/>
      <c r="AE55" s="181"/>
      <c r="AF55" s="181"/>
      <c r="AG55" s="181"/>
      <c r="AH55" s="181"/>
      <c r="AI55" s="181"/>
    </row>
    <row r="56" spans="1:35" x14ac:dyDescent="0.2">
      <c r="A56" s="204" t="s">
        <v>148</v>
      </c>
      <c r="B56" s="205">
        <f>1.25+'2025'!D54-(COUNTIF(E56,"VL")+COUNTIF(G56:AI56,"VL"))-(COUNTIF(E56,"HDL")+COUNTIF(G56:AI56,"HDL"))*0.5</f>
        <v>3.75</v>
      </c>
      <c r="C56" s="286">
        <f t="shared" si="3"/>
        <v>6.25</v>
      </c>
      <c r="D56" s="289"/>
      <c r="E56" s="259"/>
      <c r="F56" s="259" t="s">
        <v>172</v>
      </c>
      <c r="G56" s="259"/>
      <c r="H56" s="259"/>
      <c r="I56" s="259"/>
      <c r="J56" s="259"/>
      <c r="K56" s="259"/>
      <c r="L56" s="259"/>
      <c r="M56" s="259"/>
      <c r="N56" s="259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81"/>
    </row>
    <row r="57" spans="1:35" x14ac:dyDescent="0.2">
      <c r="A57" s="204" t="s">
        <v>186</v>
      </c>
      <c r="B57" s="205">
        <f>1.25+'2025'!D55-(COUNTIF(E57:AI57, "VL") * 1) - (COUNTIF(E57:AI57, "HDL") * 0.5)</f>
        <v>5.25</v>
      </c>
      <c r="C57" s="286">
        <f t="shared" si="3"/>
        <v>6.25</v>
      </c>
      <c r="D57" s="289"/>
      <c r="E57" s="173"/>
      <c r="F57" s="259"/>
      <c r="G57" s="259"/>
      <c r="H57" s="259"/>
      <c r="I57" s="259"/>
      <c r="J57" s="259"/>
      <c r="K57" s="259"/>
      <c r="L57" s="259" t="s">
        <v>172</v>
      </c>
      <c r="M57" s="259"/>
      <c r="N57" s="259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81"/>
    </row>
    <row r="58" spans="1:35" x14ac:dyDescent="0.2">
      <c r="A58" s="204" t="s">
        <v>396</v>
      </c>
      <c r="B58" s="205">
        <f>1.25*6-(COUNTIF(E58:AI58, "VL") * 1) - (COUNTIF(E58:AI58, "HDL") * 0.5)</f>
        <v>7.5</v>
      </c>
      <c r="C58" s="286"/>
      <c r="D58" s="289"/>
      <c r="E58" s="173"/>
      <c r="F58" s="259"/>
      <c r="G58" s="259"/>
      <c r="H58" s="259"/>
      <c r="I58" s="259"/>
      <c r="J58" s="259"/>
      <c r="K58" s="259"/>
      <c r="L58" s="259"/>
      <c r="M58" s="259"/>
      <c r="N58" s="259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81"/>
    </row>
    <row r="59" spans="1:35" x14ac:dyDescent="0.2">
      <c r="A59" s="215" t="s">
        <v>377</v>
      </c>
      <c r="B59" s="205">
        <v>7.5</v>
      </c>
      <c r="C59" s="286"/>
      <c r="D59" s="289"/>
      <c r="E59" s="173"/>
      <c r="F59" s="259"/>
      <c r="G59" s="259"/>
      <c r="H59" s="259"/>
      <c r="I59" s="259"/>
      <c r="J59" s="259"/>
      <c r="K59" s="259"/>
      <c r="L59" s="259"/>
      <c r="M59" s="259"/>
      <c r="N59" s="259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81"/>
    </row>
    <row r="60" spans="1:35" x14ac:dyDescent="0.2">
      <c r="A60" s="204" t="s">
        <v>368</v>
      </c>
      <c r="B60" s="205">
        <f>1.25+'2025'!D56-(COUNTIF(E60:AI60, "VL") * 1) - (COUNTIF(E60:AI60, "HDL") * 0.5)</f>
        <v>1.75</v>
      </c>
      <c r="C60" s="286">
        <f t="shared" ref="C60:C67" si="4">1.25+5-COUNTIF(E60:AI60, "SL")-(COUNTIF(E60:AI60, "HDSL") * 0.5)</f>
        <v>4.25</v>
      </c>
      <c r="D60" s="289"/>
      <c r="E60" s="173"/>
      <c r="F60" s="259" t="s">
        <v>172</v>
      </c>
      <c r="G60" s="259"/>
      <c r="H60" s="259"/>
      <c r="I60" s="259"/>
      <c r="J60" s="259"/>
      <c r="K60" s="259"/>
      <c r="L60" s="259"/>
      <c r="M60" s="259"/>
      <c r="N60" s="259"/>
      <c r="O60" s="181"/>
      <c r="P60" s="181" t="s">
        <v>173</v>
      </c>
      <c r="Q60" s="181"/>
      <c r="R60" s="181"/>
      <c r="S60" s="181" t="s">
        <v>173</v>
      </c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81"/>
    </row>
    <row r="61" spans="1:35" x14ac:dyDescent="0.2">
      <c r="A61" s="204" t="s">
        <v>188</v>
      </c>
      <c r="B61" s="205">
        <f>1.25+'2025'!D57-(COUNTIF(E61:AI61, "VL") * 1) - (COUNTIF(E61:AI61, "HDL") * 0.5)</f>
        <v>2.25</v>
      </c>
      <c r="C61" s="286">
        <f t="shared" si="4"/>
        <v>4.25</v>
      </c>
      <c r="D61" s="289"/>
      <c r="E61" s="173"/>
      <c r="F61" s="259"/>
      <c r="G61" s="259"/>
      <c r="H61" s="259"/>
      <c r="I61" s="259"/>
      <c r="J61" s="259" t="s">
        <v>173</v>
      </c>
      <c r="K61" s="259"/>
      <c r="L61" s="259"/>
      <c r="M61" s="259"/>
      <c r="N61" s="259"/>
      <c r="O61" s="181"/>
      <c r="P61" s="181"/>
      <c r="Q61" s="181"/>
      <c r="R61" s="181"/>
      <c r="S61" s="181"/>
      <c r="T61" s="181"/>
      <c r="U61" s="181"/>
      <c r="V61" s="181"/>
      <c r="W61" s="181" t="s">
        <v>173</v>
      </c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81"/>
    </row>
    <row r="62" spans="1:35" x14ac:dyDescent="0.2">
      <c r="A62" s="204" t="s">
        <v>187</v>
      </c>
      <c r="B62" s="205">
        <f>1.25+'2025'!D58-(COUNTIF(E62:AI62, "VL") * 1) - (COUNTIF(E62:AI62, "HDL") * 0.5)</f>
        <v>2.5</v>
      </c>
      <c r="C62" s="286">
        <f t="shared" si="4"/>
        <v>5.25</v>
      </c>
      <c r="D62" s="289"/>
      <c r="E62" s="173"/>
      <c r="F62" s="259"/>
      <c r="G62" s="259"/>
      <c r="H62" s="259"/>
      <c r="I62" s="259"/>
      <c r="J62" s="259"/>
      <c r="K62" s="259"/>
      <c r="L62" s="259"/>
      <c r="M62" s="259"/>
      <c r="N62" s="259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 t="s">
        <v>173</v>
      </c>
      <c r="AB62" s="181"/>
      <c r="AC62" s="181"/>
      <c r="AD62" s="181"/>
      <c r="AE62" s="181"/>
      <c r="AF62" s="181"/>
      <c r="AG62" s="181"/>
      <c r="AH62" s="181" t="s">
        <v>172</v>
      </c>
      <c r="AI62" s="181"/>
    </row>
    <row r="63" spans="1:35" x14ac:dyDescent="0.2">
      <c r="A63" s="204" t="s">
        <v>219</v>
      </c>
      <c r="B63" s="205">
        <f>1.25+'2025'!D59-(COUNTIF(E63,"VL")+COUNTIF(G63:AI63,"VL"))-(COUNTIF(E63,"HDL")+COUNTIF(G63:AI63,"HDL"))*0.5</f>
        <v>6.25</v>
      </c>
      <c r="C63" s="286">
        <f t="shared" si="4"/>
        <v>6.25</v>
      </c>
      <c r="D63" s="289"/>
      <c r="E63" s="173"/>
      <c r="F63" s="259" t="s">
        <v>172</v>
      </c>
      <c r="G63" s="259"/>
      <c r="H63" s="259"/>
      <c r="I63" s="259"/>
      <c r="J63" s="259"/>
      <c r="K63" s="259"/>
      <c r="L63" s="259"/>
      <c r="M63" s="259"/>
      <c r="N63" s="259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81"/>
    </row>
    <row r="64" spans="1:35" x14ac:dyDescent="0.2">
      <c r="A64" s="204" t="s">
        <v>362</v>
      </c>
      <c r="B64" s="205">
        <f>1.25+'2025'!D60
- (COUNTIF(E64,"VL") + COUNTIF(G64:H64,"VL") + COUNTIF(K64:AI64,"VL"))
- ((COUNTIF(E64,"HDL") + COUNTIF(G64:AI64,"HDL")) * 0.5)</f>
        <v>5.75</v>
      </c>
      <c r="C64" s="286">
        <f t="shared" si="4"/>
        <v>6.25</v>
      </c>
      <c r="D64" s="289"/>
      <c r="E64" s="173"/>
      <c r="F64" s="259" t="s">
        <v>172</v>
      </c>
      <c r="G64" s="259"/>
      <c r="H64" s="259"/>
      <c r="I64" s="259" t="s">
        <v>172</v>
      </c>
      <c r="J64" s="259" t="s">
        <v>172</v>
      </c>
      <c r="K64" s="259"/>
      <c r="L64" s="259"/>
      <c r="M64" s="259"/>
      <c r="N64" s="259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81"/>
    </row>
    <row r="65" spans="1:35" x14ac:dyDescent="0.2">
      <c r="A65" s="204" t="s">
        <v>154</v>
      </c>
      <c r="B65" s="205">
        <f>1.25+'2025'!D60
- (COUNTIF(E64,"VL") + COUNTIF(G64:H64,"VL") + COUNTIF(K64:AI64,"VL"))
- ((COUNTIF(E64,"HDL") + COUNTIF(G64:AI64,"HDL")) * 0.5)</f>
        <v>5.75</v>
      </c>
      <c r="C65" s="286">
        <f t="shared" si="4"/>
        <v>6.25</v>
      </c>
      <c r="D65" s="289"/>
      <c r="E65" s="173"/>
      <c r="F65" s="259" t="s">
        <v>172</v>
      </c>
      <c r="G65" s="259" t="s">
        <v>172</v>
      </c>
      <c r="H65" s="259"/>
      <c r="I65" s="259"/>
      <c r="J65" s="259"/>
      <c r="K65" s="259"/>
      <c r="L65" s="259"/>
      <c r="M65" s="259"/>
      <c r="N65" s="259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81"/>
    </row>
    <row r="66" spans="1:35" x14ac:dyDescent="0.2">
      <c r="A66" s="204" t="s">
        <v>189</v>
      </c>
      <c r="B66" s="205">
        <f>1.25+'2025'!D62-(COUNTIF(E66,"VL")+COUNTIF(G66:AI66,"VL"))-(COUNTIF(E66,"HDL")+COUNTIF(G66:AI66,"HDL"))*0.5</f>
        <v>5.75</v>
      </c>
      <c r="C66" s="286">
        <f t="shared" si="4"/>
        <v>5.25</v>
      </c>
      <c r="D66" s="289"/>
      <c r="E66" s="173"/>
      <c r="F66" s="259" t="s">
        <v>172</v>
      </c>
      <c r="G66" s="259"/>
      <c r="H66" s="259"/>
      <c r="I66" s="259"/>
      <c r="J66" s="259"/>
      <c r="K66" s="259"/>
      <c r="L66" s="259"/>
      <c r="M66" s="259"/>
      <c r="N66" s="259"/>
      <c r="O66" s="181"/>
      <c r="P66" s="181"/>
      <c r="Q66" s="181"/>
      <c r="R66" s="181"/>
      <c r="S66" s="181"/>
      <c r="T66" s="181" t="s">
        <v>173</v>
      </c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81"/>
      <c r="AI66" s="181"/>
    </row>
    <row r="67" spans="1:35" x14ac:dyDescent="0.2">
      <c r="A67" s="204" t="s">
        <v>354</v>
      </c>
      <c r="B67" s="205">
        <f>1.25+'2025'!D63-(COUNTIF(E67:AI67, "VL") * 1) - (COUNTIF(E67:AI67, "HDL") * 0.5)</f>
        <v>2.5</v>
      </c>
      <c r="C67" s="286">
        <f t="shared" si="4"/>
        <v>5.25</v>
      </c>
      <c r="D67" s="289"/>
      <c r="E67" s="173"/>
      <c r="F67" s="259"/>
      <c r="G67" s="259"/>
      <c r="H67" s="259"/>
      <c r="I67" s="259"/>
      <c r="J67" s="259"/>
      <c r="K67" s="259"/>
      <c r="L67" s="259"/>
      <c r="M67" s="259"/>
      <c r="N67" s="259"/>
      <c r="O67" s="181"/>
      <c r="P67" s="181"/>
      <c r="Q67" s="181"/>
      <c r="R67" s="181"/>
      <c r="S67" s="181"/>
      <c r="T67" s="181"/>
      <c r="U67" s="181"/>
      <c r="V67" s="181"/>
      <c r="W67" s="181"/>
      <c r="X67" s="181" t="s">
        <v>173</v>
      </c>
      <c r="Y67" s="181" t="s">
        <v>172</v>
      </c>
      <c r="Z67" s="181" t="s">
        <v>172</v>
      </c>
      <c r="AA67" s="181"/>
      <c r="AB67" s="181"/>
      <c r="AC67" s="181"/>
      <c r="AD67" s="181"/>
      <c r="AE67" s="181"/>
      <c r="AF67" s="181"/>
      <c r="AG67" s="181"/>
      <c r="AH67" s="181"/>
      <c r="AI67" s="181"/>
    </row>
    <row r="68" spans="1:35" x14ac:dyDescent="0.2">
      <c r="A68" s="204" t="s">
        <v>363</v>
      </c>
      <c r="B68" s="205">
        <f>1.25+'2025'!D64-(COUNTIF(E68,"VL")+COUNTIF(G68:AI68,"VL"))-(COUNTIF(E68,"HDL")+COUNTIF(G68:AI68,"HDL"))*0.5</f>
        <v>3.25</v>
      </c>
      <c r="C68" s="286">
        <f>1.25+5-COUNTIF(F68:AI68, "SL")-(COUNTIF(F68:AI68, "HDSL") * 0.5)</f>
        <v>5.25</v>
      </c>
      <c r="D68" s="289"/>
      <c r="E68" s="173"/>
      <c r="F68" s="259" t="s">
        <v>172</v>
      </c>
      <c r="G68" s="259"/>
      <c r="H68" s="259"/>
      <c r="I68" s="259" t="s">
        <v>172</v>
      </c>
      <c r="J68" s="259" t="s">
        <v>172</v>
      </c>
      <c r="K68" s="259" t="s">
        <v>172</v>
      </c>
      <c r="L68" s="259"/>
      <c r="M68" s="259"/>
      <c r="N68" s="259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 t="s">
        <v>173</v>
      </c>
      <c r="AA68" s="181"/>
      <c r="AB68" s="181"/>
      <c r="AC68" s="181"/>
      <c r="AD68" s="181"/>
      <c r="AE68" s="181"/>
      <c r="AF68" s="181"/>
      <c r="AG68" s="181"/>
      <c r="AH68" s="181"/>
      <c r="AI68" s="181"/>
    </row>
    <row r="69" spans="1:35" x14ac:dyDescent="0.2">
      <c r="A69" s="204" t="s">
        <v>155</v>
      </c>
      <c r="B69" s="205">
        <f>1.25+'2025'!D65- (COUNTIF(E69,"VL") + COUNTIF(G69:AI69,"VL")) - (COUNTIF(E69,"HDL") + COUNTIF(G69:AI69,"HDL"))*0.5</f>
        <v>2.5</v>
      </c>
      <c r="C69" s="286">
        <f>1.25+5-COUNTIF(E69:AI69, "SL")-(COUNTIF(E69:AI69, "HDSL") * 0.5)</f>
        <v>6.25</v>
      </c>
      <c r="D69" s="289"/>
      <c r="E69" s="173"/>
      <c r="F69" s="259" t="s">
        <v>172</v>
      </c>
      <c r="G69" s="259"/>
      <c r="H69" s="259"/>
      <c r="I69" s="259"/>
      <c r="J69" s="259"/>
      <c r="K69" s="259"/>
      <c r="L69" s="259"/>
      <c r="M69" s="259"/>
      <c r="N69" s="259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1"/>
      <c r="AB69" s="181"/>
      <c r="AC69" s="181"/>
      <c r="AD69" s="181"/>
      <c r="AE69" s="181"/>
      <c r="AF69" s="181"/>
      <c r="AG69" s="181"/>
      <c r="AH69" s="181"/>
      <c r="AI69" s="181"/>
    </row>
    <row r="70" spans="1:35" x14ac:dyDescent="0.2">
      <c r="A70" s="204" t="s">
        <v>374</v>
      </c>
      <c r="B70" s="205">
        <f>1.25+'2025'!D66-(COUNTIF(E70:AI70, "VL") * 1) - (COUNTIF(E70:AI70, "HDL") * 0.5)</f>
        <v>1.25</v>
      </c>
      <c r="C70" s="286">
        <f>1.25+5-COUNTIF(E70:AI70, "SL")-(COUNTIF(E70:AI70, "HDSL") * 0.5)</f>
        <v>5.25</v>
      </c>
      <c r="D70" s="289"/>
      <c r="E70" s="173"/>
      <c r="F70" s="259"/>
      <c r="G70" s="259"/>
      <c r="H70" s="259"/>
      <c r="I70" s="259"/>
      <c r="J70" s="259"/>
      <c r="K70" s="259"/>
      <c r="L70" s="259"/>
      <c r="M70" s="259"/>
      <c r="N70" s="259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1"/>
      <c r="AC70" s="181"/>
      <c r="AD70" s="181"/>
      <c r="AE70" s="181" t="s">
        <v>173</v>
      </c>
      <c r="AF70" s="181"/>
      <c r="AG70" s="181"/>
      <c r="AH70" s="181"/>
      <c r="AI70" s="181"/>
    </row>
    <row r="71" spans="1:35" x14ac:dyDescent="0.2">
      <c r="A71" s="204" t="s">
        <v>224</v>
      </c>
      <c r="B71" s="205">
        <f>1.25+'2025'!D67-(COUNTIF(E71:AI71, "VL") * 1) - (COUNTIF(E71:AI71, "HDL") * 0.5)</f>
        <v>6.25</v>
      </c>
      <c r="C71" s="286">
        <f>1.25+5-COUNTIF(E71:AI71, "SL")-(COUNTIF(E71:AI71, "HDSL") * 0.5)</f>
        <v>6.25</v>
      </c>
      <c r="D71" s="289"/>
      <c r="E71" s="173"/>
      <c r="F71" s="259"/>
      <c r="G71" s="259"/>
      <c r="H71" s="259"/>
      <c r="I71" s="259"/>
      <c r="J71" s="259"/>
      <c r="K71" s="259"/>
      <c r="L71" s="259"/>
      <c r="M71" s="259"/>
      <c r="N71" s="259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1"/>
      <c r="AC71" s="181"/>
      <c r="AD71" s="181"/>
      <c r="AE71" s="181"/>
      <c r="AF71" s="181"/>
      <c r="AG71" s="181"/>
      <c r="AH71" s="181"/>
      <c r="AI71" s="181"/>
    </row>
    <row r="72" spans="1:35" x14ac:dyDescent="0.2">
      <c r="A72" s="254" t="s">
        <v>166</v>
      </c>
      <c r="B72" s="205">
        <f>1.25+'2025'!D68-(COUNTIF(E72:AI72, "VL") * 1) - (COUNTIF(E72:AI72, "HDL") * 0.5)</f>
        <v>2</v>
      </c>
      <c r="C72" s="286">
        <f>1.25+5-COUNTIF(E72:AI72, "SL")-(COUNTIF(E72:AI72, "HDSL") * 0.5)</f>
        <v>5.25</v>
      </c>
      <c r="D72" s="291"/>
      <c r="E72" s="173"/>
      <c r="F72" s="173"/>
      <c r="G72" s="173"/>
      <c r="H72" s="173"/>
      <c r="I72" s="181"/>
      <c r="J72" s="181"/>
      <c r="K72" s="181"/>
      <c r="L72" s="181"/>
      <c r="M72" s="181"/>
      <c r="N72" s="181"/>
      <c r="O72" s="181"/>
      <c r="P72" s="181"/>
      <c r="Q72" s="181" t="s">
        <v>172</v>
      </c>
      <c r="R72" s="181" t="s">
        <v>172</v>
      </c>
      <c r="S72" s="181" t="s">
        <v>172</v>
      </c>
      <c r="T72" s="181" t="s">
        <v>173</v>
      </c>
      <c r="U72" s="181"/>
      <c r="V72" s="181"/>
      <c r="W72" s="181"/>
      <c r="X72" s="181"/>
      <c r="Y72" s="181"/>
      <c r="Z72" s="181"/>
      <c r="AA72" s="181"/>
      <c r="AB72" s="181"/>
      <c r="AC72" s="181"/>
      <c r="AD72" s="181"/>
      <c r="AE72" s="181"/>
      <c r="AF72" s="181"/>
      <c r="AG72" s="181"/>
      <c r="AH72" s="181"/>
      <c r="AI72" s="181"/>
    </row>
    <row r="73" spans="1:35" x14ac:dyDescent="0.2">
      <c r="A73" s="211" t="s">
        <v>375</v>
      </c>
      <c r="B73" s="205">
        <f>1.25+'2025'!D69-(COUNTIF(E73:AI73, "VL") * 1) - (COUNTIF(E73:AI73, "HDL") * 0.5)</f>
        <v>1.5</v>
      </c>
      <c r="C73" s="286">
        <f>1.25+5-COUNTIF(E73:AI73, "SL")-(COUNTIF(E73:AI73, "HDSL") * 0.5)</f>
        <v>5.25</v>
      </c>
      <c r="D73" s="289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1"/>
      <c r="AC73" s="181"/>
      <c r="AD73" s="181" t="s">
        <v>173</v>
      </c>
      <c r="AE73" s="181"/>
      <c r="AF73" s="181"/>
      <c r="AG73" s="181"/>
      <c r="AH73" s="181"/>
      <c r="AI73" s="181"/>
    </row>
    <row r="75" spans="1:35" x14ac:dyDescent="0.2">
      <c r="A75" t="s">
        <v>376</v>
      </c>
      <c r="F75" s="258" t="s">
        <v>172</v>
      </c>
      <c r="G75" s="258"/>
      <c r="H75" s="258"/>
      <c r="I75" s="258"/>
      <c r="J75" s="258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4CF186BCAAA147BBA9F64FC57CE424" ma:contentTypeVersion="14" ma:contentTypeDescription="Create a new document." ma:contentTypeScope="" ma:versionID="4e87d715c96711dd9cadcc2c44620b71">
  <xsd:schema xmlns:xsd="http://www.w3.org/2001/XMLSchema" xmlns:xs="http://www.w3.org/2001/XMLSchema" xmlns:p="http://schemas.microsoft.com/office/2006/metadata/properties" xmlns:ns2="0117b644-87d1-49db-8fb2-a8f5a2ab887b" xmlns:ns3="8262481c-f17b-40a8-8aa8-342907ebe6ca" targetNamespace="http://schemas.microsoft.com/office/2006/metadata/properties" ma:root="true" ma:fieldsID="5293d6928e2892ecfd7063a6f42e6267" ns2:_="" ns3:_="">
    <xsd:import namespace="0117b644-87d1-49db-8fb2-a8f5a2ab887b"/>
    <xsd:import namespace="8262481c-f17b-40a8-8aa8-342907ebe6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17b644-87d1-49db-8fb2-a8f5a2ab88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7bf5f5d-4cd5-498b-a3b8-9d77c0f5e6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62481c-f17b-40a8-8aa8-342907ebe6c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52091c1-cb85-492b-8e39-f83dea238f6d}" ma:internalName="TaxCatchAll" ma:showField="CatchAllData" ma:web="8262481c-f17b-40a8-8aa8-342907ebe6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62481c-f17b-40a8-8aa8-342907ebe6ca" xsi:nil="true"/>
    <lcf76f155ced4ddcb4097134ff3c332f xmlns="0117b644-87d1-49db-8fb2-a8f5a2ab887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3CA5D6-CD8B-466C-A56C-20954CE85D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17b644-87d1-49db-8fb2-a8f5a2ab887b"/>
    <ds:schemaRef ds:uri="8262481c-f17b-40a8-8aa8-342907ebe6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6900A5-B27E-4189-ADA1-55A3A42B13A5}">
  <ds:schemaRefs>
    <ds:schemaRef ds:uri="http://schemas.microsoft.com/office/2006/metadata/properties"/>
    <ds:schemaRef ds:uri="http://schemas.microsoft.com/office/infopath/2007/PartnerControls"/>
    <ds:schemaRef ds:uri="8262481c-f17b-40a8-8aa8-342907ebe6ca"/>
    <ds:schemaRef ds:uri="0117b644-87d1-49db-8fb2-a8f5a2ab887b"/>
  </ds:schemaRefs>
</ds:datastoreItem>
</file>

<file path=customXml/itemProps3.xml><?xml version="1.0" encoding="utf-8"?>
<ds:datastoreItem xmlns:ds="http://schemas.openxmlformats.org/officeDocument/2006/customXml" ds:itemID="{B300FE8D-3BCD-4960-B710-CC2BD2AFD0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Leaves</vt:lpstr>
      <vt:lpstr>2023 ACCRUAL</vt:lpstr>
      <vt:lpstr>DEC</vt:lpstr>
      <vt:lpstr>2024</vt:lpstr>
      <vt:lpstr>OCT</vt:lpstr>
      <vt:lpstr>NOV</vt:lpstr>
      <vt:lpstr>Jan2025</vt:lpstr>
      <vt:lpstr>Feb2025</vt:lpstr>
      <vt:lpstr>NOV-Draft</vt:lpstr>
      <vt:lpstr>2316</vt:lpstr>
      <vt:lpstr>Sheet2</vt:lpstr>
      <vt:lpstr>Mar2025 </vt:lpstr>
      <vt:lpstr>Apr2025</vt:lpstr>
      <vt:lpstr>May2025 </vt:lpstr>
      <vt:lpstr>Jun2025 </vt:lpstr>
      <vt:lpstr>Jul2025</vt:lpstr>
      <vt:lpstr>Aug2025</vt:lpstr>
      <vt:lpstr>Sept2025</vt:lpstr>
      <vt:lpstr>Oct2025 </vt:lpstr>
      <vt:lpstr>Nov2025</vt:lpstr>
      <vt:lpstr>Dec2025</vt:lpstr>
      <vt:lpstr>2025</vt:lpstr>
      <vt:lpstr>Jan2026</vt:lpstr>
    </vt:vector>
  </TitlesOfParts>
  <Manager/>
  <Company>Grizli777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gladys</dc:creator>
  <cp:keywords/>
  <dc:description/>
  <cp:lastModifiedBy>resty nazareno</cp:lastModifiedBy>
  <cp:revision/>
  <dcterms:created xsi:type="dcterms:W3CDTF">2017-09-29T19:20:22Z</dcterms:created>
  <dcterms:modified xsi:type="dcterms:W3CDTF">2026-02-03T02:37:05Z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0x010100D94CF186BCAAA147BBA9F64FC57CE424</vt:lpwstr>
  </property>
  <property fmtid="{D5CDD505-2E9C-101B-9397-08002B2CF9AE}" pid="3" name="MediaServiceImageTags">
    <vt:lpwstr/>
  </property>
</Properties>
</file>